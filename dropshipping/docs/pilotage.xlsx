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écisions" sheetId="2" state="visible" r:id="rId2"/>
    <sheet xmlns:r="http://schemas.openxmlformats.org/officeDocument/2006/relationships" name="Dates précommande" sheetId="3" state="visible" r:id="rId3"/>
    <sheet xmlns:r="http://schemas.openxmlformats.org/officeDocument/2006/relationships" name="Fériés" sheetId="4" state="visible" r:id="rId4"/>
    <sheet xmlns:r="http://schemas.openxmlformats.org/officeDocument/2006/relationships" name="Trésorerie" sheetId="5" state="visible" r:id="rId5"/>
    <sheet xmlns:r="http://schemas.openxmlformats.org/officeDocument/2006/relationships" name="Commandes" sheetId="6" state="visible" r:id="rId6"/>
    <sheet xmlns:r="http://schemas.openxmlformats.org/officeDocument/2006/relationships" name="Délais" sheetId="7" state="visible" r:id="rId7"/>
    <sheet xmlns:r="http://schemas.openxmlformats.org/officeDocument/2006/relationships" name="Mouvements stock" sheetId="8" state="visible" r:id="rId8"/>
    <sheet xmlns:r="http://schemas.openxmlformats.org/officeDocument/2006/relationships" name="Stock" sheetId="9" state="visible" r:id="rId9"/>
    <sheet xmlns:r="http://schemas.openxmlformats.org/officeDocument/2006/relationships" name="KPI hebdo" sheetId="10" state="visible" r:id="rId10"/>
    <sheet xmlns:r="http://schemas.openxmlformats.org/officeDocument/2006/relationships" name="Prix TikTok Shop" sheetId="11" state="visible" r:id="rId11"/>
    <sheet xmlns:r="http://schemas.openxmlformats.org/officeDocument/2006/relationships" name="Réclamations GPSR" sheetId="12" state="visible" r:id="rId12"/>
    <sheet xmlns:r="http://schemas.openxmlformats.org/officeDocument/2006/relationships" name="Registre RGPD" sheetId="13" state="visible" r:id="rId13"/>
    <sheet xmlns:r="http://schemas.openxmlformats.org/officeDocument/2006/relationships" name="Créateu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DD/MM/YYYY"/>
    <numFmt numFmtId="167" formatCode="#,##0 &quot;€&quot;"/>
  </numFmts>
  <fonts count="6">
    <font>
      <name val="Calibri"/>
      <family val="2"/>
      <color theme="1"/>
      <sz val="11"/>
      <scheme val="minor"/>
    </font>
    <font>
      <b val="1"/>
      <color rgb="002F4A3C"/>
      <sz val="14"/>
    </font>
    <font>
      <b val="1"/>
    </font>
    <font>
      <color rgb="000000FF"/>
    </font>
    <font>
      <i val="1"/>
      <color rgb="006A5B5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A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166" fontId="3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7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Canapoil — classeur de pilotage</t>
        </is>
      </c>
    </row>
    <row r="3">
      <c r="A3" s="2" t="inlineStr">
        <is>
          <t>Rôle</t>
        </is>
      </c>
      <c r="B3" s="3" t="inlineStr">
        <is>
          <t>Tenir chaque semaine les chiffres qui décident : portes, trésorerie, stock, délais, créateurs, réclamations. Importable dans Google Sheets (Fichier &gt; Importer).</t>
        </is>
      </c>
    </row>
    <row r="4">
      <c r="A4" s="2" t="inlineStr">
        <is>
          <t>Saisies</t>
        </is>
      </c>
      <c r="B4" s="3" t="inlineStr">
        <is>
          <t>Cellules en bleu. Les autres cellules sont des formules.</t>
        </is>
      </c>
    </row>
    <row r="5">
      <c r="A5" s="2" t="inlineStr">
        <is>
          <t>Alertes</t>
        </is>
      </c>
      <c r="B5" s="3" t="inlineStr">
        <is>
          <t>Trésorerie : réserve disponible &lt; 300 € → aucune commande fournisseur ni échantillon avant le prochain encaissement. Stock : &lt; 5 unités → précommande ou indisponible sur le site (brand.json) ; &lt; 10 en pic viral → réassort express. Délais : 90e centile &gt; 6 jours ouvrés → revoir la promesse.</t>
        </is>
      </c>
    </row>
    <row r="6">
      <c r="A6" s="2" t="inlineStr">
        <is>
          <t>Sources</t>
        </is>
      </c>
      <c r="B6" s="3" t="inlineStr">
        <is>
          <t>strategie/brand.json (prix, seuils, micro-stock), strategie/04-strategie.md (portes, tableau de bord §6.7), marketing/07-plan-organique-90j.md (KPI §8), finance/05-analyse-financiere.md (trésorerie §5).</t>
        </is>
      </c>
    </row>
    <row r="7">
      <c r="A7" s="2" t="inlineStr">
        <is>
          <t>Rythme</t>
        </is>
      </c>
      <c r="B7" s="3" t="inlineStr">
        <is>
          <t>Chaque lundi matin : KPI hebdo, Trésorerie, Stock. Chaque jour : Commandes et Mouvements stock. À la porte 1 : Décisions et Dates précommande.</t>
        </is>
      </c>
    </row>
    <row r="8">
      <c r="A8" s="2" t="inlineStr">
        <is>
          <t>Option de trésorerie</t>
        </is>
      </c>
      <c r="B8" s="3" t="inlineStr">
        <is>
          <t>À signer avant S1 (Décisions!B4) : a = apport de 2 400 € ; b = TikTok Shop plafonné au stock payé, sans affiliés avant le premier règlement (910 € à la porte 1) ; c = arrêt à 45 €.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2" customWidth="1" min="1" max="1"/>
    <col width="70" customWidth="1" min="2" max="2"/>
    <col width="16" customWidth="1" min="3" max="3"/>
  </cols>
  <sheetData>
    <row r="1">
      <c r="A1" s="1" t="inlineStr">
        <is>
          <t>Portes de décision (brand.json → lancement)</t>
        </is>
      </c>
    </row>
    <row r="3">
      <c r="A3" s="2" t="inlineStr">
        <is>
          <t>Trésorerie</t>
        </is>
      </c>
    </row>
    <row r="4">
      <c r="A4" t="inlineStr">
        <is>
          <t>Option retenue (a, b ou c), signée le</t>
        </is>
      </c>
      <c r="B4" s="4" t="inlineStr"/>
      <c r="C4" s="4" t="inlineStr"/>
    </row>
    <row r="6">
      <c r="A6" s="2" t="inlineStr">
        <is>
          <t>Porte 1 (15/11/2026), sur 14 jours</t>
        </is>
      </c>
    </row>
    <row r="7">
      <c r="A7" t="inlineStr">
        <is>
          <t>Vues de la meilleure vidéo du produit</t>
        </is>
      </c>
      <c r="B7" s="4" t="n">
        <v>0</v>
      </c>
    </row>
    <row r="8">
      <c r="A8" t="inlineStr">
        <is>
          <t>Taux de clics de cette vidéo (%)</t>
        </is>
      </c>
      <c r="B8" s="4" t="n">
        <v>0</v>
      </c>
    </row>
    <row r="9">
      <c r="A9" t="inlineStr">
        <is>
          <t>Inscrits qualifiés sur la liste d'attente (attribut PRODUIT)</t>
        </is>
      </c>
      <c r="B9" s="4" t="n">
        <v>0</v>
      </c>
    </row>
    <row r="10">
      <c r="A10" t="inlineStr">
        <is>
          <t>Taux de clics produit moyen des vidéos de démonstration (%)</t>
        </is>
      </c>
      <c r="B10" s="4" t="n">
        <v>0</v>
      </c>
    </row>
    <row r="11">
      <c r="A11" t="inlineStr">
        <is>
          <t>Commentaires d'intention, comptes uniques hors entourage</t>
        </is>
      </c>
      <c r="B11" s="4" t="n">
        <v>0</v>
      </c>
    </row>
    <row r="12">
      <c r="A12" s="2" t="inlineStr">
        <is>
          <t>Décision porte 1</t>
        </is>
      </c>
      <c r="B12">
        <f>IF(AND(OR(AND(B7&gt;=50000,B8&gt;=1),B9&gt;=150),B10&gt;=1.5,B11&gt;=20),"GO : commander le micro-stock, puis ouvrir les précommandes","NO-GO : 2 semaines de contenu de plus, ou produit suivant")</f>
        <v/>
      </c>
    </row>
    <row r="14">
      <c r="A14" s="2" t="inlineStr">
        <is>
          <t>Porte stock (fin de la précommande)</t>
        </is>
      </c>
    </row>
    <row r="15">
      <c r="A15" t="inlineStr">
        <is>
          <t>Précommandes payées hors entourage (noms et adresses vérifiés)</t>
        </is>
      </c>
      <c r="B15" s="4" t="n">
        <v>0</v>
      </c>
    </row>
    <row r="16">
      <c r="A16" t="inlineStr">
        <is>
          <t>Inscrits confirmés sur la liste d'attente à l'ouverture</t>
        </is>
      </c>
      <c r="B16" s="4" t="n">
        <v>0</v>
      </c>
    </row>
    <row r="17">
      <c r="A17" t="inlineStr">
        <is>
          <t>Précommandes venant de la liste (utm_source=email)</t>
        </is>
      </c>
      <c r="B17" s="4" t="n">
        <v>0</v>
      </c>
    </row>
    <row r="18">
      <c r="A18" t="inlineStr">
        <is>
          <t>Conversion liste → précommande</t>
        </is>
      </c>
      <c r="B18" s="5">
        <f>IF(B16&gt;0,B17/B16,0)</f>
        <v/>
      </c>
    </row>
    <row r="19">
      <c r="A19" s="2" t="inlineStr">
        <is>
          <t>Décision porte stock</t>
        </is>
      </c>
      <c r="B19">
        <f>IF(AND(B15&gt;=20,B18&gt;=0.08),"GO : réassort et stock principal (fin janvier 2027)","NO-GO : aucun réassort, écouler le micro-stock")</f>
        <v/>
      </c>
    </row>
    <row r="21">
      <c r="A21" s="2" t="inlineStr">
        <is>
          <t>Duel (porte 1) : inscrits qualifiés rouleau / tapis de fouille</t>
        </is>
      </c>
    </row>
    <row r="22">
      <c r="A22" t="inlineStr">
        <is>
          <t>Rouleau</t>
        </is>
      </c>
      <c r="B22" s="4" t="n">
        <v>0</v>
      </c>
    </row>
    <row r="23">
      <c r="A23" t="inlineStr">
        <is>
          <t>Tapis de fouille</t>
        </is>
      </c>
      <c r="B23" s="4" t="n">
        <v>0</v>
      </c>
    </row>
    <row r="24">
      <c r="A24" t="inlineStr">
        <is>
          <t>Héros retenu</t>
        </is>
      </c>
      <c r="B24">
        <f>IF(B23&gt;=1.5*B22,"Tapis de fouille (≥ 50 % de mieux)","Rouleau")</f>
        <v/>
      </c>
    </row>
    <row r="26">
      <c r="A26" s="2" t="inlineStr">
        <is>
          <t>Prix du rouleau (relevé TikTok Shop)</t>
        </is>
      </c>
      <c r="B26">
        <f>'Prix TikTok Shop'!B26</f>
        <v/>
      </c>
    </row>
  </sheetData>
  <dataValidations count="1">
    <dataValidation sqref="B4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8" customWidth="1" min="1" max="1"/>
    <col width="30" customWidth="1" min="2" max="2"/>
  </cols>
  <sheetData>
    <row r="1">
      <c r="A1" s="1" t="inlineStr">
        <is>
          <t>Calcul des dates de précommande (brand.json → livraison.precommande.regle_dates)</t>
        </is>
      </c>
    </row>
    <row r="3">
      <c r="A3" t="inlineStr">
        <is>
          <t>Date de commande et de paiement du micro-stock</t>
        </is>
      </c>
      <c r="B3" s="6" t="n">
        <v>46342</v>
      </c>
    </row>
    <row r="4">
      <c r="A4" t="inlineStr">
        <is>
          <t>90e centile du transit mesuré sur les échantillons (jours calendaires)</t>
        </is>
      </c>
      <c r="B4" s="4" t="n">
        <v>12</v>
      </c>
    </row>
    <row r="5">
      <c r="A5" t="inlineStr">
        <is>
          <t>Date d'ouverture des précommandes</t>
        </is>
      </c>
      <c r="B5" s="6" t="n">
        <v>46344</v>
      </c>
    </row>
    <row r="7">
      <c r="A7" t="inlineStr">
        <is>
          <t>Arrivée estimée du stock en France</t>
        </is>
      </c>
      <c r="B7" s="7">
        <f>B3+B4</f>
        <v/>
      </c>
    </row>
    <row r="8">
      <c r="A8" t="inlineStr">
        <is>
          <t>Expédition à partir du (+ 3 jours ouvrés : dédouanement, contrôle, étiquetage)</t>
        </is>
      </c>
      <c r="B8" s="7">
        <f>WORKDAY(B7,3,Fériés!A2:A40)</f>
        <v/>
      </c>
    </row>
    <row r="9">
      <c r="A9" t="inlineStr">
        <is>
          <t>Livraison au plus tard le (+ 6 jours ouvrés)</t>
        </is>
      </c>
      <c r="B9" s="7">
        <f>WORKDAY(B8,6,Fériés!A2:A40)</f>
        <v/>
      </c>
    </row>
    <row r="10">
      <c r="A10" t="inlineStr">
        <is>
          <t>Contrôle J-10 : colis fournisseur en France au plus tard le</t>
        </is>
      </c>
      <c r="B10" s="7">
        <f>B9-10</f>
        <v/>
      </c>
    </row>
    <row r="11">
      <c r="A11" t="inlineStr">
        <is>
          <t>Plafond de 30 jours respecté ?</t>
        </is>
      </c>
      <c r="B11">
        <f>IF(B9-B5&lt;=30,"Oui","NON : décaler l'ouverture ou choisir un envoi plus rapide")</f>
        <v/>
      </c>
    </row>
    <row r="12">
      <c r="A12" t="inlineStr">
        <is>
          <t>Argument Noël utilisable (livraison au plus tard le 23/12/2026) ?</t>
        </is>
      </c>
      <c r="B12">
        <f>IF(B9&lt;=DATE(2026,12,23),"Oui","Non : aucune mention de Noël")</f>
        <v/>
      </c>
    </row>
    <row r="14">
      <c r="A14" s="8" t="inlineStr">
        <is>
          <t>Recopier B8 et B9 dans brand.json → livraison.precommande, puis lancer python3 site/outils/generer.py --publication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Jours fériés (France métropolitaine)</t>
        </is>
      </c>
    </row>
    <row r="2">
      <c r="A2" s="7" t="n">
        <v>46023</v>
      </c>
    </row>
    <row r="3">
      <c r="A3" s="7" t="n">
        <v>46118</v>
      </c>
    </row>
    <row r="4">
      <c r="A4" s="7" t="n">
        <v>46143</v>
      </c>
    </row>
    <row r="5">
      <c r="A5" s="7" t="n">
        <v>46150</v>
      </c>
    </row>
    <row r="6">
      <c r="A6" s="7" t="n">
        <v>46156</v>
      </c>
    </row>
    <row r="7">
      <c r="A7" s="7" t="n">
        <v>46167</v>
      </c>
    </row>
    <row r="8">
      <c r="A8" s="7" t="n">
        <v>46217</v>
      </c>
    </row>
    <row r="9">
      <c r="A9" s="7" t="n">
        <v>46249</v>
      </c>
    </row>
    <row r="10">
      <c r="A10" s="7" t="n">
        <v>46327</v>
      </c>
    </row>
    <row r="11">
      <c r="A11" s="7" t="n">
        <v>46337</v>
      </c>
    </row>
    <row r="12">
      <c r="A12" s="7" t="n">
        <v>46381</v>
      </c>
    </row>
    <row r="13">
      <c r="A13" s="7" t="n">
        <v>46388</v>
      </c>
    </row>
    <row r="14">
      <c r="A14" s="7" t="n">
        <v>46475</v>
      </c>
    </row>
    <row r="15">
      <c r="A15" s="7" t="n">
        <v>46508</v>
      </c>
    </row>
    <row r="16">
      <c r="A16" s="7" t="n">
        <v>46513</v>
      </c>
    </row>
    <row r="17">
      <c r="A17" s="7" t="n">
        <v>46515</v>
      </c>
    </row>
    <row r="18">
      <c r="A18" s="7" t="n">
        <v>46524</v>
      </c>
    </row>
    <row r="19">
      <c r="A19" s="7" t="n">
        <v>46582</v>
      </c>
    </row>
    <row r="20">
      <c r="A20" s="7" t="n">
        <v>46614</v>
      </c>
    </row>
    <row r="21">
      <c r="A21" s="7" t="n">
        <v>46692</v>
      </c>
    </row>
    <row r="22">
      <c r="A22" s="7" t="n">
        <v>46702</v>
      </c>
    </row>
    <row r="23">
      <c r="A23" s="7" t="n">
        <v>46746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16" customWidth="1" min="6" max="6"/>
    <col width="46" customWidth="1" min="7" max="7"/>
    <col width="22" customWidth="1" min="8" max="8"/>
    <col width="30" customWidth="1" min="9" max="9"/>
  </cols>
  <sheetData>
    <row r="1">
      <c r="A1" s="1" t="inlineStr">
        <is>
          <t>Réserve de trésorerie hebdomadaire (alerte &lt; 300 €)</t>
        </is>
      </c>
    </row>
    <row r="3">
      <c r="A3" s="9" t="inlineStr">
        <is>
          <t>Semaine (lundi)</t>
        </is>
      </c>
      <c r="B3" s="9" t="inlineStr">
        <is>
          <t>Solde bancaire (€)</t>
        </is>
      </c>
      <c r="C3" s="9" t="inlineStr">
        <is>
          <t>Fournisseurs à payer à 30 j (€)</t>
        </is>
      </c>
      <c r="D3" s="9" t="inlineStr">
        <is>
          <t>TVA à reverser (€)</t>
        </is>
      </c>
      <c r="E3" s="9" t="inlineStr">
        <is>
          <t>Autres dettes (€)</t>
        </is>
      </c>
      <c r="F3" s="9" t="inlineStr">
        <is>
          <t>Réserve disponible (€)</t>
        </is>
      </c>
      <c r="G3" s="9" t="inlineStr">
        <is>
          <t>Alerte</t>
        </is>
      </c>
      <c r="H3" s="9" t="inlineStr">
        <is>
          <t>Encaissement TikTok Shop attendu (date)</t>
        </is>
      </c>
      <c r="I3" s="9" t="inlineStr">
        <is>
          <t>Commentaire</t>
        </is>
      </c>
    </row>
    <row r="4">
      <c r="A4" s="7" t="n">
        <v>46307</v>
      </c>
      <c r="B4" s="4" t="n"/>
      <c r="C4" s="4" t="n"/>
      <c r="D4" s="4" t="n"/>
      <c r="E4" s="4" t="n"/>
      <c r="F4" s="10">
        <f>IF(B4="","",B4-C4-D4-E4)</f>
        <v/>
      </c>
      <c r="G4">
        <f>IF(F4="","",IF(F4&lt;300,"ALERTE : aucune commande fournisseur ni échantillon","OK"))</f>
        <v/>
      </c>
    </row>
    <row r="5">
      <c r="A5" s="7" t="n">
        <v>46314</v>
      </c>
      <c r="B5" s="4" t="n"/>
      <c r="C5" s="4" t="n"/>
      <c r="D5" s="4" t="n"/>
      <c r="E5" s="4" t="n"/>
      <c r="F5" s="10">
        <f>IF(B5="","",B5-C5-D5-E5)</f>
        <v/>
      </c>
      <c r="G5">
        <f>IF(F5="","",IF(F5&lt;300,"ALERTE : aucune commande fournisseur ni échantillon","OK"))</f>
        <v/>
      </c>
    </row>
    <row r="6">
      <c r="A6" s="7" t="n">
        <v>46321</v>
      </c>
      <c r="B6" s="4" t="n"/>
      <c r="C6" s="4" t="n"/>
      <c r="D6" s="4" t="n"/>
      <c r="E6" s="4" t="n"/>
      <c r="F6" s="10">
        <f>IF(B6="","",B6-C6-D6-E6)</f>
        <v/>
      </c>
      <c r="G6">
        <f>IF(F6="","",IF(F6&lt;300,"ALERTE : aucune commande fournisseur ni échantillon","OK"))</f>
        <v/>
      </c>
    </row>
    <row r="7">
      <c r="A7" s="7" t="n">
        <v>46328</v>
      </c>
      <c r="B7" s="4" t="n"/>
      <c r="C7" s="4" t="n"/>
      <c r="D7" s="4" t="n"/>
      <c r="E7" s="4" t="n"/>
      <c r="F7" s="10">
        <f>IF(B7="","",B7-C7-D7-E7)</f>
        <v/>
      </c>
      <c r="G7">
        <f>IF(F7="","",IF(F7&lt;300,"ALERTE : aucune commande fournisseur ni échantillon","OK"))</f>
        <v/>
      </c>
    </row>
    <row r="8">
      <c r="A8" s="7" t="n">
        <v>46335</v>
      </c>
      <c r="B8" s="4" t="n"/>
      <c r="C8" s="4" t="n"/>
      <c r="D8" s="4" t="n"/>
      <c r="E8" s="4" t="n"/>
      <c r="F8" s="10">
        <f>IF(B8="","",B8-C8-D8-E8)</f>
        <v/>
      </c>
      <c r="G8">
        <f>IF(F8="","",IF(F8&lt;300,"ALERTE : aucune commande fournisseur ni échantillon","OK"))</f>
        <v/>
      </c>
    </row>
    <row r="9">
      <c r="A9" s="7" t="n">
        <v>46342</v>
      </c>
      <c r="B9" s="4" t="n"/>
      <c r="C9" s="4" t="n"/>
      <c r="D9" s="4" t="n"/>
      <c r="E9" s="4" t="n"/>
      <c r="F9" s="10">
        <f>IF(B9="","",B9-C9-D9-E9)</f>
        <v/>
      </c>
      <c r="G9">
        <f>IF(F9="","",IF(F9&lt;300,"ALERTE : aucune commande fournisseur ni échantillon","OK"))</f>
        <v/>
      </c>
    </row>
    <row r="10">
      <c r="A10" s="7" t="n">
        <v>46349</v>
      </c>
      <c r="B10" s="4" t="n"/>
      <c r="C10" s="4" t="n"/>
      <c r="D10" s="4" t="n"/>
      <c r="E10" s="4" t="n"/>
      <c r="F10" s="10">
        <f>IF(B10="","",B10-C10-D10-E10)</f>
        <v/>
      </c>
      <c r="G10">
        <f>IF(F10="","",IF(F10&lt;300,"ALERTE : aucune commande fournisseur ni échantillon","OK"))</f>
        <v/>
      </c>
    </row>
    <row r="11">
      <c r="A11" s="7" t="n">
        <v>46356</v>
      </c>
      <c r="B11" s="4" t="n"/>
      <c r="C11" s="4" t="n"/>
      <c r="D11" s="4" t="n"/>
      <c r="E11" s="4" t="n"/>
      <c r="F11" s="10">
        <f>IF(B11="","",B11-C11-D11-E11)</f>
        <v/>
      </c>
      <c r="G11">
        <f>IF(F11="","",IF(F11&lt;300,"ALERTE : aucune commande fournisseur ni échantillon","OK"))</f>
        <v/>
      </c>
    </row>
    <row r="12">
      <c r="A12" s="7" t="n">
        <v>46363</v>
      </c>
      <c r="B12" s="4" t="n"/>
      <c r="C12" s="4" t="n"/>
      <c r="D12" s="4" t="n"/>
      <c r="E12" s="4" t="n"/>
      <c r="F12" s="10">
        <f>IF(B12="","",B12-C12-D12-E12)</f>
        <v/>
      </c>
      <c r="G12">
        <f>IF(F12="","",IF(F12&lt;300,"ALERTE : aucune commande fournisseur ni échantillon","OK"))</f>
        <v/>
      </c>
    </row>
    <row r="13">
      <c r="A13" s="7" t="n">
        <v>46370</v>
      </c>
      <c r="B13" s="4" t="n"/>
      <c r="C13" s="4" t="n"/>
      <c r="D13" s="4" t="n"/>
      <c r="E13" s="4" t="n"/>
      <c r="F13" s="10">
        <f>IF(B13="","",B13-C13-D13-E13)</f>
        <v/>
      </c>
      <c r="G13">
        <f>IF(F13="","",IF(F13&lt;300,"ALERTE : aucune commande fournisseur ni échantillon","OK"))</f>
        <v/>
      </c>
    </row>
    <row r="14">
      <c r="A14" s="7" t="n">
        <v>46377</v>
      </c>
      <c r="B14" s="4" t="n"/>
      <c r="C14" s="4" t="n"/>
      <c r="D14" s="4" t="n"/>
      <c r="E14" s="4" t="n"/>
      <c r="F14" s="10">
        <f>IF(B14="","",B14-C14-D14-E14)</f>
        <v/>
      </c>
      <c r="G14">
        <f>IF(F14="","",IF(F14&lt;300,"ALERTE : aucune commande fournisseur ni échantillon","OK"))</f>
        <v/>
      </c>
    </row>
    <row r="15">
      <c r="A15" s="7" t="n">
        <v>46384</v>
      </c>
      <c r="B15" s="4" t="n"/>
      <c r="C15" s="4" t="n"/>
      <c r="D15" s="4" t="n"/>
      <c r="E15" s="4" t="n"/>
      <c r="F15" s="10">
        <f>IF(B15="","",B15-C15-D15-E15)</f>
        <v/>
      </c>
      <c r="G15">
        <f>IF(F15="","",IF(F15&lt;300,"ALERTE : aucune commande fournisseur ni échantillon","OK"))</f>
        <v/>
      </c>
    </row>
    <row r="16">
      <c r="A16" s="7" t="n">
        <v>46391</v>
      </c>
      <c r="B16" s="4" t="n"/>
      <c r="C16" s="4" t="n"/>
      <c r="D16" s="4" t="n"/>
      <c r="E16" s="4" t="n"/>
      <c r="F16" s="10">
        <f>IF(B16="","",B16-C16-D16-E16)</f>
        <v/>
      </c>
      <c r="G16">
        <f>IF(F16="","",IF(F16&lt;300,"ALERTE : aucune commande fournisseur ni échantillon","OK"))</f>
        <v/>
      </c>
    </row>
    <row r="17">
      <c r="A17" s="7" t="n">
        <v>46398</v>
      </c>
      <c r="B17" s="4" t="n"/>
      <c r="C17" s="4" t="n"/>
      <c r="D17" s="4" t="n"/>
      <c r="E17" s="4" t="n"/>
      <c r="F17" s="10">
        <f>IF(B17="","",B17-C17-D17-E17)</f>
        <v/>
      </c>
      <c r="G17">
        <f>IF(F17="","",IF(F17&lt;300,"ALERTE : aucune commande fournisseur ni échantillon","OK"))</f>
        <v/>
      </c>
    </row>
    <row r="18">
      <c r="A18" s="7" t="n">
        <v>46405</v>
      </c>
      <c r="B18" s="4" t="n"/>
      <c r="C18" s="4" t="n"/>
      <c r="D18" s="4" t="n"/>
      <c r="E18" s="4" t="n"/>
      <c r="F18" s="10">
        <f>IF(B18="","",B18-C18-D18-E18)</f>
        <v/>
      </c>
      <c r="G18">
        <f>IF(F18="","",IF(F18&lt;300,"ALERTE : aucune commande fournisseur ni échantillon","OK"))</f>
        <v/>
      </c>
    </row>
    <row r="19">
      <c r="A19" s="7" t="n">
        <v>46412</v>
      </c>
      <c r="B19" s="4" t="n"/>
      <c r="C19" s="4" t="n"/>
      <c r="D19" s="4" t="n"/>
      <c r="E19" s="4" t="n"/>
      <c r="F19" s="10">
        <f>IF(B19="","",B19-C19-D19-E19)</f>
        <v/>
      </c>
      <c r="G19">
        <f>IF(F19="","",IF(F19&lt;300,"ALERTE : aucune commande fournisseur ni échantillon","OK"))</f>
        <v/>
      </c>
    </row>
    <row r="20">
      <c r="A20" s="7" t="n">
        <v>46419</v>
      </c>
      <c r="B20" s="4" t="n"/>
      <c r="C20" s="4" t="n"/>
      <c r="D20" s="4" t="n"/>
      <c r="E20" s="4" t="n"/>
      <c r="F20" s="10">
        <f>IF(B20="","",B20-C20-D20-E20)</f>
        <v/>
      </c>
      <c r="G20">
        <f>IF(F20="","",IF(F20&lt;300,"ALERTE : aucune commande fournisseur ni échantillon","OK"))</f>
        <v/>
      </c>
    </row>
    <row r="21">
      <c r="A21" s="7" t="n">
        <v>46426</v>
      </c>
      <c r="B21" s="4" t="n"/>
      <c r="C21" s="4" t="n"/>
      <c r="D21" s="4" t="n"/>
      <c r="E21" s="4" t="n"/>
      <c r="F21" s="10">
        <f>IF(B21="","",B21-C21-D21-E21)</f>
        <v/>
      </c>
      <c r="G21">
        <f>IF(F21="","",IF(F21&lt;300,"ALERTE : aucune commande fournisseur ni échantillon","OK"))</f>
        <v/>
      </c>
    </row>
    <row r="22">
      <c r="A22" s="7" t="n">
        <v>46433</v>
      </c>
      <c r="B22" s="4" t="n"/>
      <c r="C22" s="4" t="n"/>
      <c r="D22" s="4" t="n"/>
      <c r="E22" s="4" t="n"/>
      <c r="F22" s="10">
        <f>IF(B22="","",B22-C22-D22-E22)</f>
        <v/>
      </c>
      <c r="G22">
        <f>IF(F22="","",IF(F22&lt;300,"ALERTE : aucune commande fournisseur ni échantillon","OK"))</f>
        <v/>
      </c>
    </row>
    <row r="23">
      <c r="A23" s="7" t="n">
        <v>46440</v>
      </c>
      <c r="B23" s="4" t="n"/>
      <c r="C23" s="4" t="n"/>
      <c r="D23" s="4" t="n"/>
      <c r="E23" s="4" t="n"/>
      <c r="F23" s="10">
        <f>IF(B23="","",B23-C23-D23-E23)</f>
        <v/>
      </c>
      <c r="G23">
        <f>IF(F23="","",IF(F23&lt;300,"ALERTE : aucune commande fournisseur ni échantillon","OK"))</f>
        <v/>
      </c>
    </row>
    <row r="24">
      <c r="A24" s="7" t="n">
        <v>46447</v>
      </c>
      <c r="B24" s="4" t="n"/>
      <c r="C24" s="4" t="n"/>
      <c r="D24" s="4" t="n"/>
      <c r="E24" s="4" t="n"/>
      <c r="F24" s="10">
        <f>IF(B24="","",B24-C24-D24-E24)</f>
        <v/>
      </c>
      <c r="G24">
        <f>IF(F24="","",IF(F24&lt;300,"ALERTE : aucune commande fournisseur ni échantillon","OK"))</f>
        <v/>
      </c>
    </row>
    <row r="25">
      <c r="A25" s="7" t="n">
        <v>46454</v>
      </c>
      <c r="B25" s="4" t="n"/>
      <c r="C25" s="4" t="n"/>
      <c r="D25" s="4" t="n"/>
      <c r="E25" s="4" t="n"/>
      <c r="F25" s="10">
        <f>IF(B25="","",B25-C25-D25-E25)</f>
        <v/>
      </c>
      <c r="G25">
        <f>IF(F25="","",IF(F25&lt;300,"ALERTE : aucune commande fournisseur ni échantillon","OK"))</f>
        <v/>
      </c>
    </row>
    <row r="26">
      <c r="A26" s="7" t="n">
        <v>46461</v>
      </c>
      <c r="B26" s="4" t="n"/>
      <c r="C26" s="4" t="n"/>
      <c r="D26" s="4" t="n"/>
      <c r="E26" s="4" t="n"/>
      <c r="F26" s="10">
        <f>IF(B26="","",B26-C26-D26-E26)</f>
        <v/>
      </c>
      <c r="G26">
        <f>IF(F26="","",IF(F26&lt;300,"ALERTE : aucune commande fournisseur ni échantillon","OK"))</f>
        <v/>
      </c>
    </row>
    <row r="27">
      <c r="A27" s="7" t="n">
        <v>46468</v>
      </c>
      <c r="B27" s="4" t="n"/>
      <c r="C27" s="4" t="n"/>
      <c r="D27" s="4" t="n"/>
      <c r="E27" s="4" t="n"/>
      <c r="F27" s="10">
        <f>IF(B27="","",B27-C27-D27-E27)</f>
        <v/>
      </c>
      <c r="G27">
        <f>IF(F27="","",IF(F27&lt;300,"ALERTE : aucune commande fournisseur ni échantillon","OK"))</f>
        <v/>
      </c>
    </row>
    <row r="28">
      <c r="A28" s="7" t="n">
        <v>46475</v>
      </c>
      <c r="B28" s="4" t="n"/>
      <c r="C28" s="4" t="n"/>
      <c r="D28" s="4" t="n"/>
      <c r="E28" s="4" t="n"/>
      <c r="F28" s="10">
        <f>IF(B28="","",B28-C28-D28-E28)</f>
        <v/>
      </c>
      <c r="G28">
        <f>IF(F28="","",IF(F28&lt;300,"ALERTE : aucune commande fournisseur ni échantillon","OK"))</f>
        <v/>
      </c>
    </row>
    <row r="29">
      <c r="A29" s="7" t="n">
        <v>46482</v>
      </c>
      <c r="B29" s="4" t="n"/>
      <c r="C29" s="4" t="n"/>
      <c r="D29" s="4" t="n"/>
      <c r="E29" s="4" t="n"/>
      <c r="F29" s="10">
        <f>IF(B29="","",B29-C29-D29-E29)</f>
        <v/>
      </c>
      <c r="G29">
        <f>IF(F29="","",IF(F29&lt;300,"ALERTE : aucune commande fournisseur ni échantillon","OK"))</f>
        <v/>
      </c>
    </row>
    <row r="31">
      <c r="A31" s="8" t="inlineStr">
        <is>
          <t>Repères (05 §5) : 910 € à avancer avant le premier encaissement ; creux réaliste de 2 000 € en février 2027 ; optimiste 4 539 €.</t>
        </is>
      </c>
    </row>
  </sheetData>
  <conditionalFormatting sqref="G4:G29">
    <cfRule type="expression" priority="1" dxfId="0">
      <formula>LEFT(G4,6)="ALERTE"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0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30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4" customWidth="1" min="16" max="16"/>
    <col width="2" customWidth="1" min="17" max="17"/>
    <col width="28" customWidth="1" min="18" max="18"/>
    <col width="8" customWidth="1" min="19" max="19"/>
  </cols>
  <sheetData>
    <row r="1">
      <c r="A1" s="1" t="inlineStr">
        <is>
          <t>Commandes (site, TikTok Shop) et délais réels</t>
        </is>
      </c>
    </row>
    <row r="3">
      <c r="A3" s="9" t="inlineStr">
        <is>
          <t>N° commande</t>
        </is>
      </c>
      <c r="B3" s="9" t="inlineStr">
        <is>
          <t>Canal</t>
        </is>
      </c>
      <c r="C3" s="9" t="inlineStr">
        <is>
          <t>Date de commande</t>
        </is>
      </c>
      <c r="D3" s="9" t="inlineStr">
        <is>
          <t>Produits (SKU × qté)</t>
        </is>
      </c>
      <c r="E3" s="9" t="inlineStr">
        <is>
          <t>Montant TTC (€)</t>
        </is>
      </c>
      <c r="F3" s="9" t="inlineStr">
        <is>
          <t>Précommande (oui/non)</t>
        </is>
      </c>
      <c r="G3" s="9" t="inlineStr">
        <is>
          <t>Expédition prévue</t>
        </is>
      </c>
      <c r="H3" s="9" t="inlineStr">
        <is>
          <t>Livraison au plus tard</t>
        </is>
      </c>
      <c r="I3" s="9" t="inlineStr">
        <is>
          <t>Expédition réelle</t>
        </is>
      </c>
      <c r="J3" s="9" t="inlineStr">
        <is>
          <t>Livraison réelle</t>
        </is>
      </c>
      <c r="K3" s="9" t="inlineStr">
        <is>
          <t>Délai réel (jours ouvrés)</t>
        </is>
      </c>
      <c r="L3" s="9" t="inlineStr">
        <is>
          <t>Dans les délais ?</t>
        </is>
      </c>
      <c r="M3" s="9" t="inlineStr">
        <is>
          <t>Gant offert (prime)</t>
        </is>
      </c>
      <c r="N3" s="9" t="inlineStr">
        <is>
          <t>Entourage (oui/non)</t>
        </is>
      </c>
      <c r="O3" s="9" t="inlineStr">
        <is>
          <t>utm_content</t>
        </is>
      </c>
      <c r="P3" s="9" t="inlineStr">
        <is>
          <t>Statut</t>
        </is>
      </c>
      <c r="R3" s="2" t="inlineStr">
        <is>
          <t>Gants de prime attribués</t>
        </is>
      </c>
      <c r="S3">
        <f>COUNTIF(M4:M503,"oui")</f>
        <v/>
      </c>
    </row>
    <row r="4">
      <c r="A4" s="4" t="n"/>
      <c r="B4" s="4" t="n"/>
      <c r="C4" s="6" t="n"/>
      <c r="D4" s="4" t="n"/>
      <c r="E4" s="4" t="n"/>
      <c r="F4" s="4" t="n"/>
      <c r="G4" s="6" t="n"/>
      <c r="H4" s="6" t="n"/>
      <c r="I4" s="6" t="n"/>
      <c r="J4" s="6" t="n"/>
      <c r="K4">
        <f>IF(OR(C4="",J4=""),"",NETWORKDAYS(C4,J4,Fériés!$A$2:$A$40)-1)</f>
        <v/>
      </c>
      <c r="L4">
        <f>IF(J4="","",IF(H4&lt;&gt;"",IF(J4&lt;=H4,"Oui","NON"),IF(K4&lt;=6,"Oui","NON")))</f>
        <v/>
      </c>
      <c r="M4" s="4" t="n"/>
      <c r="N4" s="4" t="n"/>
      <c r="O4" s="4" t="n"/>
      <c r="P4" s="4" t="n"/>
      <c r="R4" t="inlineStr">
        <is>
          <t>Restants (30 réservés)</t>
        </is>
      </c>
      <c r="S4">
        <f>30-S3</f>
        <v/>
      </c>
    </row>
    <row r="5">
      <c r="A5" s="4" t="n"/>
      <c r="B5" s="4" t="n"/>
      <c r="C5" s="6" t="n"/>
      <c r="D5" s="4" t="n"/>
      <c r="E5" s="4" t="n"/>
      <c r="F5" s="4" t="n"/>
      <c r="G5" s="6" t="n"/>
      <c r="H5" s="6" t="n"/>
      <c r="I5" s="6" t="n"/>
      <c r="J5" s="6" t="n"/>
      <c r="K5">
        <f>IF(OR(C5="",J5=""),"",NETWORKDAYS(C5,J5,Fériés!$A$2:$A$40)-1)</f>
        <v/>
      </c>
      <c r="L5">
        <f>IF(J5="","",IF(H5&lt;&gt;"",IF(J5&lt;=H5,"Oui","NON"),IF(K5&lt;=6,"Oui","NON")))</f>
        <v/>
      </c>
      <c r="M5" s="4" t="n"/>
      <c r="N5" s="4" t="n"/>
      <c r="O5" s="4" t="n"/>
      <c r="P5" s="4" t="n"/>
      <c r="R5" t="inlineStr">
        <is>
          <t>Précommandes hors entourage</t>
        </is>
      </c>
      <c r="S5">
        <f>COUNTIFS(F4:F503,"oui",N4:N503,"non")</f>
        <v/>
      </c>
    </row>
    <row r="6">
      <c r="A6" s="4" t="n"/>
      <c r="B6" s="4" t="n"/>
      <c r="C6" s="6" t="n"/>
      <c r="D6" s="4" t="n"/>
      <c r="E6" s="4" t="n"/>
      <c r="F6" s="4" t="n"/>
      <c r="G6" s="6" t="n"/>
      <c r="H6" s="6" t="n"/>
      <c r="I6" s="6" t="n"/>
      <c r="J6" s="6" t="n"/>
      <c r="K6">
        <f>IF(OR(C6="",J6=""),"",NETWORKDAYS(C6,J6,Fériés!$A$2:$A$40)-1)</f>
        <v/>
      </c>
      <c r="L6">
        <f>IF(J6="","",IF(H6&lt;&gt;"",IF(J6&lt;=H6,"Oui","NON"),IF(K6&lt;=6,"Oui","NON")))</f>
        <v/>
      </c>
      <c r="M6" s="4" t="n"/>
      <c r="N6" s="4" t="n"/>
      <c r="O6" s="4" t="n"/>
      <c r="P6" s="4" t="n"/>
    </row>
    <row r="7">
      <c r="A7" s="4" t="n"/>
      <c r="B7" s="4" t="n"/>
      <c r="C7" s="6" t="n"/>
      <c r="D7" s="4" t="n"/>
      <c r="E7" s="4" t="n"/>
      <c r="F7" s="4" t="n"/>
      <c r="G7" s="6" t="n"/>
      <c r="H7" s="6" t="n"/>
      <c r="I7" s="6" t="n"/>
      <c r="J7" s="6" t="n"/>
      <c r="K7">
        <f>IF(OR(C7="",J7=""),"",NETWORKDAYS(C7,J7,Fériés!$A$2:$A$40)-1)</f>
        <v/>
      </c>
      <c r="L7">
        <f>IF(J7="","",IF(H7&lt;&gt;"",IF(J7&lt;=H7,"Oui","NON"),IF(K7&lt;=6,"Oui","NON")))</f>
        <v/>
      </c>
      <c r="M7" s="4" t="n"/>
      <c r="N7" s="4" t="n"/>
      <c r="O7" s="4" t="n"/>
      <c r="P7" s="4" t="n"/>
    </row>
    <row r="8">
      <c r="A8" s="4" t="n"/>
      <c r="B8" s="4" t="n"/>
      <c r="C8" s="6" t="n"/>
      <c r="D8" s="4" t="n"/>
      <c r="E8" s="4" t="n"/>
      <c r="F8" s="4" t="n"/>
      <c r="G8" s="6" t="n"/>
      <c r="H8" s="6" t="n"/>
      <c r="I8" s="6" t="n"/>
      <c r="J8" s="6" t="n"/>
      <c r="K8">
        <f>IF(OR(C8="",J8=""),"",NETWORKDAYS(C8,J8,Fériés!$A$2:$A$40)-1)</f>
        <v/>
      </c>
      <c r="L8">
        <f>IF(J8="","",IF(H8&lt;&gt;"",IF(J8&lt;=H8,"Oui","NON"),IF(K8&lt;=6,"Oui","NON")))</f>
        <v/>
      </c>
      <c r="M8" s="4" t="n"/>
      <c r="N8" s="4" t="n"/>
      <c r="O8" s="4" t="n"/>
      <c r="P8" s="4" t="n"/>
    </row>
    <row r="9">
      <c r="A9" s="4" t="n"/>
      <c r="B9" s="4" t="n"/>
      <c r="C9" s="6" t="n"/>
      <c r="D9" s="4" t="n"/>
      <c r="E9" s="4" t="n"/>
      <c r="F9" s="4" t="n"/>
      <c r="G9" s="6" t="n"/>
      <c r="H9" s="6" t="n"/>
      <c r="I9" s="6" t="n"/>
      <c r="J9" s="6" t="n"/>
      <c r="K9">
        <f>IF(OR(C9="",J9=""),"",NETWORKDAYS(C9,J9,Fériés!$A$2:$A$40)-1)</f>
        <v/>
      </c>
      <c r="L9">
        <f>IF(J9="","",IF(H9&lt;&gt;"",IF(J9&lt;=H9,"Oui","NON"),IF(K9&lt;=6,"Oui","NON")))</f>
        <v/>
      </c>
      <c r="M9" s="4" t="n"/>
      <c r="N9" s="4" t="n"/>
      <c r="O9" s="4" t="n"/>
      <c r="P9" s="4" t="n"/>
    </row>
    <row r="10">
      <c r="A10" s="4" t="n"/>
      <c r="B10" s="4" t="n"/>
      <c r="C10" s="6" t="n"/>
      <c r="D10" s="4" t="n"/>
      <c r="E10" s="4" t="n"/>
      <c r="F10" s="4" t="n"/>
      <c r="G10" s="6" t="n"/>
      <c r="H10" s="6" t="n"/>
      <c r="I10" s="6" t="n"/>
      <c r="J10" s="6" t="n"/>
      <c r="K10">
        <f>IF(OR(C10="",J10=""),"",NETWORKDAYS(C10,J10,Fériés!$A$2:$A$40)-1)</f>
        <v/>
      </c>
      <c r="L10">
        <f>IF(J10="","",IF(H10&lt;&gt;"",IF(J10&lt;=H10,"Oui","NON"),IF(K10&lt;=6,"Oui","NON")))</f>
        <v/>
      </c>
      <c r="M10" s="4" t="n"/>
      <c r="N10" s="4" t="n"/>
      <c r="O10" s="4" t="n"/>
      <c r="P10" s="4" t="n"/>
    </row>
    <row r="11">
      <c r="A11" s="4" t="n"/>
      <c r="B11" s="4" t="n"/>
      <c r="C11" s="6" t="n"/>
      <c r="D11" s="4" t="n"/>
      <c r="E11" s="4" t="n"/>
      <c r="F11" s="4" t="n"/>
      <c r="G11" s="6" t="n"/>
      <c r="H11" s="6" t="n"/>
      <c r="I11" s="6" t="n"/>
      <c r="J11" s="6" t="n"/>
      <c r="K11">
        <f>IF(OR(C11="",J11=""),"",NETWORKDAYS(C11,J11,Fériés!$A$2:$A$40)-1)</f>
        <v/>
      </c>
      <c r="L11">
        <f>IF(J11="","",IF(H11&lt;&gt;"",IF(J11&lt;=H11,"Oui","NON"),IF(K11&lt;=6,"Oui","NON")))</f>
        <v/>
      </c>
      <c r="M11" s="4" t="n"/>
      <c r="N11" s="4" t="n"/>
      <c r="O11" s="4" t="n"/>
      <c r="P11" s="4" t="n"/>
    </row>
    <row r="12">
      <c r="A12" s="4" t="n"/>
      <c r="B12" s="4" t="n"/>
      <c r="C12" s="6" t="n"/>
      <c r="D12" s="4" t="n"/>
      <c r="E12" s="4" t="n"/>
      <c r="F12" s="4" t="n"/>
      <c r="G12" s="6" t="n"/>
      <c r="H12" s="6" t="n"/>
      <c r="I12" s="6" t="n"/>
      <c r="J12" s="6" t="n"/>
      <c r="K12">
        <f>IF(OR(C12="",J12=""),"",NETWORKDAYS(C12,J12,Fériés!$A$2:$A$40)-1)</f>
        <v/>
      </c>
      <c r="L12">
        <f>IF(J12="","",IF(H12&lt;&gt;"",IF(J12&lt;=H12,"Oui","NON"),IF(K12&lt;=6,"Oui","NON")))</f>
        <v/>
      </c>
      <c r="M12" s="4" t="n"/>
      <c r="N12" s="4" t="n"/>
      <c r="O12" s="4" t="n"/>
      <c r="P12" s="4" t="n"/>
    </row>
    <row r="13">
      <c r="A13" s="4" t="n"/>
      <c r="B13" s="4" t="n"/>
      <c r="C13" s="6" t="n"/>
      <c r="D13" s="4" t="n"/>
      <c r="E13" s="4" t="n"/>
      <c r="F13" s="4" t="n"/>
      <c r="G13" s="6" t="n"/>
      <c r="H13" s="6" t="n"/>
      <c r="I13" s="6" t="n"/>
      <c r="J13" s="6" t="n"/>
      <c r="K13">
        <f>IF(OR(C13="",J13=""),"",NETWORKDAYS(C13,J13,Fériés!$A$2:$A$40)-1)</f>
        <v/>
      </c>
      <c r="L13">
        <f>IF(J13="","",IF(H13&lt;&gt;"",IF(J13&lt;=H13,"Oui","NON"),IF(K13&lt;=6,"Oui","NON")))</f>
        <v/>
      </c>
      <c r="M13" s="4" t="n"/>
      <c r="N13" s="4" t="n"/>
      <c r="O13" s="4" t="n"/>
      <c r="P13" s="4" t="n"/>
    </row>
    <row r="14">
      <c r="A14" s="4" t="n"/>
      <c r="B14" s="4" t="n"/>
      <c r="C14" s="6" t="n"/>
      <c r="D14" s="4" t="n"/>
      <c r="E14" s="4" t="n"/>
      <c r="F14" s="4" t="n"/>
      <c r="G14" s="6" t="n"/>
      <c r="H14" s="6" t="n"/>
      <c r="I14" s="6" t="n"/>
      <c r="J14" s="6" t="n"/>
      <c r="K14">
        <f>IF(OR(C14="",J14=""),"",NETWORKDAYS(C14,J14,Fériés!$A$2:$A$40)-1)</f>
        <v/>
      </c>
      <c r="L14">
        <f>IF(J14="","",IF(H14&lt;&gt;"",IF(J14&lt;=H14,"Oui","NON"),IF(K14&lt;=6,"Oui","NON")))</f>
        <v/>
      </c>
      <c r="M14" s="4" t="n"/>
      <c r="N14" s="4" t="n"/>
      <c r="O14" s="4" t="n"/>
      <c r="P14" s="4" t="n"/>
    </row>
    <row r="15">
      <c r="A15" s="4" t="n"/>
      <c r="B15" s="4" t="n"/>
      <c r="C15" s="6" t="n"/>
      <c r="D15" s="4" t="n"/>
      <c r="E15" s="4" t="n"/>
      <c r="F15" s="4" t="n"/>
      <c r="G15" s="6" t="n"/>
      <c r="H15" s="6" t="n"/>
      <c r="I15" s="6" t="n"/>
      <c r="J15" s="6" t="n"/>
      <c r="K15">
        <f>IF(OR(C15="",J15=""),"",NETWORKDAYS(C15,J15,Fériés!$A$2:$A$40)-1)</f>
        <v/>
      </c>
      <c r="L15">
        <f>IF(J15="","",IF(H15&lt;&gt;"",IF(J15&lt;=H15,"Oui","NON"),IF(K15&lt;=6,"Oui","NON")))</f>
        <v/>
      </c>
      <c r="M15" s="4" t="n"/>
      <c r="N15" s="4" t="n"/>
      <c r="O15" s="4" t="n"/>
      <c r="P15" s="4" t="n"/>
    </row>
    <row r="16">
      <c r="A16" s="4" t="n"/>
      <c r="B16" s="4" t="n"/>
      <c r="C16" s="6" t="n"/>
      <c r="D16" s="4" t="n"/>
      <c r="E16" s="4" t="n"/>
      <c r="F16" s="4" t="n"/>
      <c r="G16" s="6" t="n"/>
      <c r="H16" s="6" t="n"/>
      <c r="I16" s="6" t="n"/>
      <c r="J16" s="6" t="n"/>
      <c r="K16">
        <f>IF(OR(C16="",J16=""),"",NETWORKDAYS(C16,J16,Fériés!$A$2:$A$40)-1)</f>
        <v/>
      </c>
      <c r="L16">
        <f>IF(J16="","",IF(H16&lt;&gt;"",IF(J16&lt;=H16,"Oui","NON"),IF(K16&lt;=6,"Oui","NON")))</f>
        <v/>
      </c>
      <c r="M16" s="4" t="n"/>
      <c r="N16" s="4" t="n"/>
      <c r="O16" s="4" t="n"/>
      <c r="P16" s="4" t="n"/>
    </row>
    <row r="17">
      <c r="A17" s="4" t="n"/>
      <c r="B17" s="4" t="n"/>
      <c r="C17" s="6" t="n"/>
      <c r="D17" s="4" t="n"/>
      <c r="E17" s="4" t="n"/>
      <c r="F17" s="4" t="n"/>
      <c r="G17" s="6" t="n"/>
      <c r="H17" s="6" t="n"/>
      <c r="I17" s="6" t="n"/>
      <c r="J17" s="6" t="n"/>
      <c r="K17">
        <f>IF(OR(C17="",J17=""),"",NETWORKDAYS(C17,J17,Fériés!$A$2:$A$40)-1)</f>
        <v/>
      </c>
      <c r="L17">
        <f>IF(J17="","",IF(H17&lt;&gt;"",IF(J17&lt;=H17,"Oui","NON"),IF(K17&lt;=6,"Oui","NON")))</f>
        <v/>
      </c>
      <c r="M17" s="4" t="n"/>
      <c r="N17" s="4" t="n"/>
      <c r="O17" s="4" t="n"/>
      <c r="P17" s="4" t="n"/>
    </row>
    <row r="18">
      <c r="A18" s="4" t="n"/>
      <c r="B18" s="4" t="n"/>
      <c r="C18" s="6" t="n"/>
      <c r="D18" s="4" t="n"/>
      <c r="E18" s="4" t="n"/>
      <c r="F18" s="4" t="n"/>
      <c r="G18" s="6" t="n"/>
      <c r="H18" s="6" t="n"/>
      <c r="I18" s="6" t="n"/>
      <c r="J18" s="6" t="n"/>
      <c r="K18">
        <f>IF(OR(C18="",J18=""),"",NETWORKDAYS(C18,J18,Fériés!$A$2:$A$40)-1)</f>
        <v/>
      </c>
      <c r="L18">
        <f>IF(J18="","",IF(H18&lt;&gt;"",IF(J18&lt;=H18,"Oui","NON"),IF(K18&lt;=6,"Oui","NON")))</f>
        <v/>
      </c>
      <c r="M18" s="4" t="n"/>
      <c r="N18" s="4" t="n"/>
      <c r="O18" s="4" t="n"/>
      <c r="P18" s="4" t="n"/>
    </row>
    <row r="19">
      <c r="A19" s="4" t="n"/>
      <c r="B19" s="4" t="n"/>
      <c r="C19" s="6" t="n"/>
      <c r="D19" s="4" t="n"/>
      <c r="E19" s="4" t="n"/>
      <c r="F19" s="4" t="n"/>
      <c r="G19" s="6" t="n"/>
      <c r="H19" s="6" t="n"/>
      <c r="I19" s="6" t="n"/>
      <c r="J19" s="6" t="n"/>
      <c r="K19">
        <f>IF(OR(C19="",J19=""),"",NETWORKDAYS(C19,J19,Fériés!$A$2:$A$40)-1)</f>
        <v/>
      </c>
      <c r="L19">
        <f>IF(J19="","",IF(H19&lt;&gt;"",IF(J19&lt;=H19,"Oui","NON"),IF(K19&lt;=6,"Oui","NON")))</f>
        <v/>
      </c>
      <c r="M19" s="4" t="n"/>
      <c r="N19" s="4" t="n"/>
      <c r="O19" s="4" t="n"/>
      <c r="P19" s="4" t="n"/>
    </row>
    <row r="20">
      <c r="A20" s="4" t="n"/>
      <c r="B20" s="4" t="n"/>
      <c r="C20" s="6" t="n"/>
      <c r="D20" s="4" t="n"/>
      <c r="E20" s="4" t="n"/>
      <c r="F20" s="4" t="n"/>
      <c r="G20" s="6" t="n"/>
      <c r="H20" s="6" t="n"/>
      <c r="I20" s="6" t="n"/>
      <c r="J20" s="6" t="n"/>
      <c r="K20">
        <f>IF(OR(C20="",J20=""),"",NETWORKDAYS(C20,J20,Fériés!$A$2:$A$40)-1)</f>
        <v/>
      </c>
      <c r="L20">
        <f>IF(J20="","",IF(H20&lt;&gt;"",IF(J20&lt;=H20,"Oui","NON"),IF(K20&lt;=6,"Oui","NON")))</f>
        <v/>
      </c>
      <c r="M20" s="4" t="n"/>
      <c r="N20" s="4" t="n"/>
      <c r="O20" s="4" t="n"/>
      <c r="P20" s="4" t="n"/>
    </row>
    <row r="21">
      <c r="A21" s="4" t="n"/>
      <c r="B21" s="4" t="n"/>
      <c r="C21" s="6" t="n"/>
      <c r="D21" s="4" t="n"/>
      <c r="E21" s="4" t="n"/>
      <c r="F21" s="4" t="n"/>
      <c r="G21" s="6" t="n"/>
      <c r="H21" s="6" t="n"/>
      <c r="I21" s="6" t="n"/>
      <c r="J21" s="6" t="n"/>
      <c r="K21">
        <f>IF(OR(C21="",J21=""),"",NETWORKDAYS(C21,J21,Fériés!$A$2:$A$40)-1)</f>
        <v/>
      </c>
      <c r="L21">
        <f>IF(J21="","",IF(H21&lt;&gt;"",IF(J21&lt;=H21,"Oui","NON"),IF(K21&lt;=6,"Oui","NON")))</f>
        <v/>
      </c>
      <c r="M21" s="4" t="n"/>
      <c r="N21" s="4" t="n"/>
      <c r="O21" s="4" t="n"/>
      <c r="P21" s="4" t="n"/>
    </row>
    <row r="22">
      <c r="A22" s="4" t="n"/>
      <c r="B22" s="4" t="n"/>
      <c r="C22" s="6" t="n"/>
      <c r="D22" s="4" t="n"/>
      <c r="E22" s="4" t="n"/>
      <c r="F22" s="4" t="n"/>
      <c r="G22" s="6" t="n"/>
      <c r="H22" s="6" t="n"/>
      <c r="I22" s="6" t="n"/>
      <c r="J22" s="6" t="n"/>
      <c r="K22">
        <f>IF(OR(C22="",J22=""),"",NETWORKDAYS(C22,J22,Fériés!$A$2:$A$40)-1)</f>
        <v/>
      </c>
      <c r="L22">
        <f>IF(J22="","",IF(H22&lt;&gt;"",IF(J22&lt;=H22,"Oui","NON"),IF(K22&lt;=6,"Oui","NON")))</f>
        <v/>
      </c>
      <c r="M22" s="4" t="n"/>
      <c r="N22" s="4" t="n"/>
      <c r="O22" s="4" t="n"/>
      <c r="P22" s="4" t="n"/>
    </row>
    <row r="23">
      <c r="A23" s="4" t="n"/>
      <c r="B23" s="4" t="n"/>
      <c r="C23" s="6" t="n"/>
      <c r="D23" s="4" t="n"/>
      <c r="E23" s="4" t="n"/>
      <c r="F23" s="4" t="n"/>
      <c r="G23" s="6" t="n"/>
      <c r="H23" s="6" t="n"/>
      <c r="I23" s="6" t="n"/>
      <c r="J23" s="6" t="n"/>
      <c r="K23">
        <f>IF(OR(C23="",J23=""),"",NETWORKDAYS(C23,J23,Fériés!$A$2:$A$40)-1)</f>
        <v/>
      </c>
      <c r="L23">
        <f>IF(J23="","",IF(H23&lt;&gt;"",IF(J23&lt;=H23,"Oui","NON"),IF(K23&lt;=6,"Oui","NON")))</f>
        <v/>
      </c>
      <c r="M23" s="4" t="n"/>
      <c r="N23" s="4" t="n"/>
      <c r="O23" s="4" t="n"/>
      <c r="P23" s="4" t="n"/>
    </row>
    <row r="24">
      <c r="A24" s="4" t="n"/>
      <c r="B24" s="4" t="n"/>
      <c r="C24" s="6" t="n"/>
      <c r="D24" s="4" t="n"/>
      <c r="E24" s="4" t="n"/>
      <c r="F24" s="4" t="n"/>
      <c r="G24" s="6" t="n"/>
      <c r="H24" s="6" t="n"/>
      <c r="I24" s="6" t="n"/>
      <c r="J24" s="6" t="n"/>
      <c r="K24">
        <f>IF(OR(C24="",J24=""),"",NETWORKDAYS(C24,J24,Fériés!$A$2:$A$40)-1)</f>
        <v/>
      </c>
      <c r="L24">
        <f>IF(J24="","",IF(H24&lt;&gt;"",IF(J24&lt;=H24,"Oui","NON"),IF(K24&lt;=6,"Oui","NON")))</f>
        <v/>
      </c>
      <c r="M24" s="4" t="n"/>
      <c r="N24" s="4" t="n"/>
      <c r="O24" s="4" t="n"/>
      <c r="P24" s="4" t="n"/>
    </row>
    <row r="25">
      <c r="A25" s="4" t="n"/>
      <c r="B25" s="4" t="n"/>
      <c r="C25" s="6" t="n"/>
      <c r="D25" s="4" t="n"/>
      <c r="E25" s="4" t="n"/>
      <c r="F25" s="4" t="n"/>
      <c r="G25" s="6" t="n"/>
      <c r="H25" s="6" t="n"/>
      <c r="I25" s="6" t="n"/>
      <c r="J25" s="6" t="n"/>
      <c r="K25">
        <f>IF(OR(C25="",J25=""),"",NETWORKDAYS(C25,J25,Fériés!$A$2:$A$40)-1)</f>
        <v/>
      </c>
      <c r="L25">
        <f>IF(J25="","",IF(H25&lt;&gt;"",IF(J25&lt;=H25,"Oui","NON"),IF(K25&lt;=6,"Oui","NON")))</f>
        <v/>
      </c>
      <c r="M25" s="4" t="n"/>
      <c r="N25" s="4" t="n"/>
      <c r="O25" s="4" t="n"/>
      <c r="P25" s="4" t="n"/>
    </row>
    <row r="26">
      <c r="A26" s="4" t="n"/>
      <c r="B26" s="4" t="n"/>
      <c r="C26" s="6" t="n"/>
      <c r="D26" s="4" t="n"/>
      <c r="E26" s="4" t="n"/>
      <c r="F26" s="4" t="n"/>
      <c r="G26" s="6" t="n"/>
      <c r="H26" s="6" t="n"/>
      <c r="I26" s="6" t="n"/>
      <c r="J26" s="6" t="n"/>
      <c r="K26">
        <f>IF(OR(C26="",J26=""),"",NETWORKDAYS(C26,J26,Fériés!$A$2:$A$40)-1)</f>
        <v/>
      </c>
      <c r="L26">
        <f>IF(J26="","",IF(H26&lt;&gt;"",IF(J26&lt;=H26,"Oui","NON"),IF(K26&lt;=6,"Oui","NON")))</f>
        <v/>
      </c>
      <c r="M26" s="4" t="n"/>
      <c r="N26" s="4" t="n"/>
      <c r="O26" s="4" t="n"/>
      <c r="P26" s="4" t="n"/>
    </row>
    <row r="27">
      <c r="A27" s="4" t="n"/>
      <c r="B27" s="4" t="n"/>
      <c r="C27" s="6" t="n"/>
      <c r="D27" s="4" t="n"/>
      <c r="E27" s="4" t="n"/>
      <c r="F27" s="4" t="n"/>
      <c r="G27" s="6" t="n"/>
      <c r="H27" s="6" t="n"/>
      <c r="I27" s="6" t="n"/>
      <c r="J27" s="6" t="n"/>
      <c r="K27">
        <f>IF(OR(C27="",J27=""),"",NETWORKDAYS(C27,J27,Fériés!$A$2:$A$40)-1)</f>
        <v/>
      </c>
      <c r="L27">
        <f>IF(J27="","",IF(H27&lt;&gt;"",IF(J27&lt;=H27,"Oui","NON"),IF(K27&lt;=6,"Oui","NON")))</f>
        <v/>
      </c>
      <c r="M27" s="4" t="n"/>
      <c r="N27" s="4" t="n"/>
      <c r="O27" s="4" t="n"/>
      <c r="P27" s="4" t="n"/>
    </row>
    <row r="28">
      <c r="A28" s="4" t="n"/>
      <c r="B28" s="4" t="n"/>
      <c r="C28" s="6" t="n"/>
      <c r="D28" s="4" t="n"/>
      <c r="E28" s="4" t="n"/>
      <c r="F28" s="4" t="n"/>
      <c r="G28" s="6" t="n"/>
      <c r="H28" s="6" t="n"/>
      <c r="I28" s="6" t="n"/>
      <c r="J28" s="6" t="n"/>
      <c r="K28">
        <f>IF(OR(C28="",J28=""),"",NETWORKDAYS(C28,J28,Fériés!$A$2:$A$40)-1)</f>
        <v/>
      </c>
      <c r="L28">
        <f>IF(J28="","",IF(H28&lt;&gt;"",IF(J28&lt;=H28,"Oui","NON"),IF(K28&lt;=6,"Oui","NON")))</f>
        <v/>
      </c>
      <c r="M28" s="4" t="n"/>
      <c r="N28" s="4" t="n"/>
      <c r="O28" s="4" t="n"/>
      <c r="P28" s="4" t="n"/>
    </row>
    <row r="29">
      <c r="A29" s="4" t="n"/>
      <c r="B29" s="4" t="n"/>
      <c r="C29" s="6" t="n"/>
      <c r="D29" s="4" t="n"/>
      <c r="E29" s="4" t="n"/>
      <c r="F29" s="4" t="n"/>
      <c r="G29" s="6" t="n"/>
      <c r="H29" s="6" t="n"/>
      <c r="I29" s="6" t="n"/>
      <c r="J29" s="6" t="n"/>
      <c r="K29">
        <f>IF(OR(C29="",J29=""),"",NETWORKDAYS(C29,J29,Fériés!$A$2:$A$40)-1)</f>
        <v/>
      </c>
      <c r="L29">
        <f>IF(J29="","",IF(H29&lt;&gt;"",IF(J29&lt;=H29,"Oui","NON"),IF(K29&lt;=6,"Oui","NON")))</f>
        <v/>
      </c>
      <c r="M29" s="4" t="n"/>
      <c r="N29" s="4" t="n"/>
      <c r="O29" s="4" t="n"/>
      <c r="P29" s="4" t="n"/>
    </row>
    <row r="30">
      <c r="A30" s="4" t="n"/>
      <c r="B30" s="4" t="n"/>
      <c r="C30" s="6" t="n"/>
      <c r="D30" s="4" t="n"/>
      <c r="E30" s="4" t="n"/>
      <c r="F30" s="4" t="n"/>
      <c r="G30" s="6" t="n"/>
      <c r="H30" s="6" t="n"/>
      <c r="I30" s="6" t="n"/>
      <c r="J30" s="6" t="n"/>
      <c r="K30">
        <f>IF(OR(C30="",J30=""),"",NETWORKDAYS(C30,J30,Fériés!$A$2:$A$40)-1)</f>
        <v/>
      </c>
      <c r="L30">
        <f>IF(J30="","",IF(H30&lt;&gt;"",IF(J30&lt;=H30,"Oui","NON"),IF(K30&lt;=6,"Oui","NON")))</f>
        <v/>
      </c>
      <c r="M30" s="4" t="n"/>
      <c r="N30" s="4" t="n"/>
      <c r="O30" s="4" t="n"/>
      <c r="P30" s="4" t="n"/>
    </row>
    <row r="31">
      <c r="A31" s="4" t="n"/>
      <c r="B31" s="4" t="n"/>
      <c r="C31" s="6" t="n"/>
      <c r="D31" s="4" t="n"/>
      <c r="E31" s="4" t="n"/>
      <c r="F31" s="4" t="n"/>
      <c r="G31" s="6" t="n"/>
      <c r="H31" s="6" t="n"/>
      <c r="I31" s="6" t="n"/>
      <c r="J31" s="6" t="n"/>
      <c r="K31">
        <f>IF(OR(C31="",J31=""),"",NETWORKDAYS(C31,J31,Fériés!$A$2:$A$40)-1)</f>
        <v/>
      </c>
      <c r="L31">
        <f>IF(J31="","",IF(H31&lt;&gt;"",IF(J31&lt;=H31,"Oui","NON"),IF(K31&lt;=6,"Oui","NON")))</f>
        <v/>
      </c>
      <c r="M31" s="4" t="n"/>
      <c r="N31" s="4" t="n"/>
      <c r="O31" s="4" t="n"/>
      <c r="P31" s="4" t="n"/>
    </row>
    <row r="32">
      <c r="A32" s="4" t="n"/>
      <c r="B32" s="4" t="n"/>
      <c r="C32" s="6" t="n"/>
      <c r="D32" s="4" t="n"/>
      <c r="E32" s="4" t="n"/>
      <c r="F32" s="4" t="n"/>
      <c r="G32" s="6" t="n"/>
      <c r="H32" s="6" t="n"/>
      <c r="I32" s="6" t="n"/>
      <c r="J32" s="6" t="n"/>
      <c r="K32">
        <f>IF(OR(C32="",J32=""),"",NETWORKDAYS(C32,J32,Fériés!$A$2:$A$40)-1)</f>
        <v/>
      </c>
      <c r="L32">
        <f>IF(J32="","",IF(H32&lt;&gt;"",IF(J32&lt;=H32,"Oui","NON"),IF(K32&lt;=6,"Oui","NON")))</f>
        <v/>
      </c>
      <c r="M32" s="4" t="n"/>
      <c r="N32" s="4" t="n"/>
      <c r="O32" s="4" t="n"/>
      <c r="P32" s="4" t="n"/>
    </row>
    <row r="33">
      <c r="A33" s="4" t="n"/>
      <c r="B33" s="4" t="n"/>
      <c r="C33" s="6" t="n"/>
      <c r="D33" s="4" t="n"/>
      <c r="E33" s="4" t="n"/>
      <c r="F33" s="4" t="n"/>
      <c r="G33" s="6" t="n"/>
      <c r="H33" s="6" t="n"/>
      <c r="I33" s="6" t="n"/>
      <c r="J33" s="6" t="n"/>
      <c r="K33">
        <f>IF(OR(C33="",J33=""),"",NETWORKDAYS(C33,J33,Fériés!$A$2:$A$40)-1)</f>
        <v/>
      </c>
      <c r="L33">
        <f>IF(J33="","",IF(H33&lt;&gt;"",IF(J33&lt;=H33,"Oui","NON"),IF(K33&lt;=6,"Oui","NON")))</f>
        <v/>
      </c>
      <c r="M33" s="4" t="n"/>
      <c r="N33" s="4" t="n"/>
      <c r="O33" s="4" t="n"/>
      <c r="P33" s="4" t="n"/>
    </row>
    <row r="34">
      <c r="A34" s="4" t="n"/>
      <c r="B34" s="4" t="n"/>
      <c r="C34" s="6" t="n"/>
      <c r="D34" s="4" t="n"/>
      <c r="E34" s="4" t="n"/>
      <c r="F34" s="4" t="n"/>
      <c r="G34" s="6" t="n"/>
      <c r="H34" s="6" t="n"/>
      <c r="I34" s="6" t="n"/>
      <c r="J34" s="6" t="n"/>
      <c r="K34">
        <f>IF(OR(C34="",J34=""),"",NETWORKDAYS(C34,J34,Fériés!$A$2:$A$40)-1)</f>
        <v/>
      </c>
      <c r="L34">
        <f>IF(J34="","",IF(H34&lt;&gt;"",IF(J34&lt;=H34,"Oui","NON"),IF(K34&lt;=6,"Oui","NON")))</f>
        <v/>
      </c>
      <c r="M34" s="4" t="n"/>
      <c r="N34" s="4" t="n"/>
      <c r="O34" s="4" t="n"/>
      <c r="P34" s="4" t="n"/>
    </row>
    <row r="35">
      <c r="A35" s="4" t="n"/>
      <c r="B35" s="4" t="n"/>
      <c r="C35" s="6" t="n"/>
      <c r="D35" s="4" t="n"/>
      <c r="E35" s="4" t="n"/>
      <c r="F35" s="4" t="n"/>
      <c r="G35" s="6" t="n"/>
      <c r="H35" s="6" t="n"/>
      <c r="I35" s="6" t="n"/>
      <c r="J35" s="6" t="n"/>
      <c r="K35">
        <f>IF(OR(C35="",J35=""),"",NETWORKDAYS(C35,J35,Fériés!$A$2:$A$40)-1)</f>
        <v/>
      </c>
      <c r="L35">
        <f>IF(J35="","",IF(H35&lt;&gt;"",IF(J35&lt;=H35,"Oui","NON"),IF(K35&lt;=6,"Oui","NON")))</f>
        <v/>
      </c>
      <c r="M35" s="4" t="n"/>
      <c r="N35" s="4" t="n"/>
      <c r="O35" s="4" t="n"/>
      <c r="P35" s="4" t="n"/>
    </row>
    <row r="36">
      <c r="A36" s="4" t="n"/>
      <c r="B36" s="4" t="n"/>
      <c r="C36" s="6" t="n"/>
      <c r="D36" s="4" t="n"/>
      <c r="E36" s="4" t="n"/>
      <c r="F36" s="4" t="n"/>
      <c r="G36" s="6" t="n"/>
      <c r="H36" s="6" t="n"/>
      <c r="I36" s="6" t="n"/>
      <c r="J36" s="6" t="n"/>
      <c r="K36">
        <f>IF(OR(C36="",J36=""),"",NETWORKDAYS(C36,J36,Fériés!$A$2:$A$40)-1)</f>
        <v/>
      </c>
      <c r="L36">
        <f>IF(J36="","",IF(H36&lt;&gt;"",IF(J36&lt;=H36,"Oui","NON"),IF(K36&lt;=6,"Oui","NON")))</f>
        <v/>
      </c>
      <c r="M36" s="4" t="n"/>
      <c r="N36" s="4" t="n"/>
      <c r="O36" s="4" t="n"/>
      <c r="P36" s="4" t="n"/>
    </row>
    <row r="37">
      <c r="A37" s="4" t="n"/>
      <c r="B37" s="4" t="n"/>
      <c r="C37" s="6" t="n"/>
      <c r="D37" s="4" t="n"/>
      <c r="E37" s="4" t="n"/>
      <c r="F37" s="4" t="n"/>
      <c r="G37" s="6" t="n"/>
      <c r="H37" s="6" t="n"/>
      <c r="I37" s="6" t="n"/>
      <c r="J37" s="6" t="n"/>
      <c r="K37">
        <f>IF(OR(C37="",J37=""),"",NETWORKDAYS(C37,J37,Fériés!$A$2:$A$40)-1)</f>
        <v/>
      </c>
      <c r="L37">
        <f>IF(J37="","",IF(H37&lt;&gt;"",IF(J37&lt;=H37,"Oui","NON"),IF(K37&lt;=6,"Oui","NON")))</f>
        <v/>
      </c>
      <c r="M37" s="4" t="n"/>
      <c r="N37" s="4" t="n"/>
      <c r="O37" s="4" t="n"/>
      <c r="P37" s="4" t="n"/>
    </row>
    <row r="38">
      <c r="A38" s="4" t="n"/>
      <c r="B38" s="4" t="n"/>
      <c r="C38" s="6" t="n"/>
      <c r="D38" s="4" t="n"/>
      <c r="E38" s="4" t="n"/>
      <c r="F38" s="4" t="n"/>
      <c r="G38" s="6" t="n"/>
      <c r="H38" s="6" t="n"/>
      <c r="I38" s="6" t="n"/>
      <c r="J38" s="6" t="n"/>
      <c r="K38">
        <f>IF(OR(C38="",J38=""),"",NETWORKDAYS(C38,J38,Fériés!$A$2:$A$40)-1)</f>
        <v/>
      </c>
      <c r="L38">
        <f>IF(J38="","",IF(H38&lt;&gt;"",IF(J38&lt;=H38,"Oui","NON"),IF(K38&lt;=6,"Oui","NON")))</f>
        <v/>
      </c>
      <c r="M38" s="4" t="n"/>
      <c r="N38" s="4" t="n"/>
      <c r="O38" s="4" t="n"/>
      <c r="P38" s="4" t="n"/>
    </row>
    <row r="39">
      <c r="A39" s="4" t="n"/>
      <c r="B39" s="4" t="n"/>
      <c r="C39" s="6" t="n"/>
      <c r="D39" s="4" t="n"/>
      <c r="E39" s="4" t="n"/>
      <c r="F39" s="4" t="n"/>
      <c r="G39" s="6" t="n"/>
      <c r="H39" s="6" t="n"/>
      <c r="I39" s="6" t="n"/>
      <c r="J39" s="6" t="n"/>
      <c r="K39">
        <f>IF(OR(C39="",J39=""),"",NETWORKDAYS(C39,J39,Fériés!$A$2:$A$40)-1)</f>
        <v/>
      </c>
      <c r="L39">
        <f>IF(J39="","",IF(H39&lt;&gt;"",IF(J39&lt;=H39,"Oui","NON"),IF(K39&lt;=6,"Oui","NON")))</f>
        <v/>
      </c>
      <c r="M39" s="4" t="n"/>
      <c r="N39" s="4" t="n"/>
      <c r="O39" s="4" t="n"/>
      <c r="P39" s="4" t="n"/>
    </row>
    <row r="40">
      <c r="A40" s="4" t="n"/>
      <c r="B40" s="4" t="n"/>
      <c r="C40" s="6" t="n"/>
      <c r="D40" s="4" t="n"/>
      <c r="E40" s="4" t="n"/>
      <c r="F40" s="4" t="n"/>
      <c r="G40" s="6" t="n"/>
      <c r="H40" s="6" t="n"/>
      <c r="I40" s="6" t="n"/>
      <c r="J40" s="6" t="n"/>
      <c r="K40">
        <f>IF(OR(C40="",J40=""),"",NETWORKDAYS(C40,J40,Fériés!$A$2:$A$40)-1)</f>
        <v/>
      </c>
      <c r="L40">
        <f>IF(J40="","",IF(H40&lt;&gt;"",IF(J40&lt;=H40,"Oui","NON"),IF(K40&lt;=6,"Oui","NON")))</f>
        <v/>
      </c>
      <c r="M40" s="4" t="n"/>
      <c r="N40" s="4" t="n"/>
      <c r="O40" s="4" t="n"/>
      <c r="P40" s="4" t="n"/>
    </row>
    <row r="41">
      <c r="A41" s="4" t="n"/>
      <c r="B41" s="4" t="n"/>
      <c r="C41" s="6" t="n"/>
      <c r="D41" s="4" t="n"/>
      <c r="E41" s="4" t="n"/>
      <c r="F41" s="4" t="n"/>
      <c r="G41" s="6" t="n"/>
      <c r="H41" s="6" t="n"/>
      <c r="I41" s="6" t="n"/>
      <c r="J41" s="6" t="n"/>
      <c r="K41">
        <f>IF(OR(C41="",J41=""),"",NETWORKDAYS(C41,J41,Fériés!$A$2:$A$40)-1)</f>
        <v/>
      </c>
      <c r="L41">
        <f>IF(J41="","",IF(H41&lt;&gt;"",IF(J41&lt;=H41,"Oui","NON"),IF(K41&lt;=6,"Oui","NON")))</f>
        <v/>
      </c>
      <c r="M41" s="4" t="n"/>
      <c r="N41" s="4" t="n"/>
      <c r="O41" s="4" t="n"/>
      <c r="P41" s="4" t="n"/>
    </row>
    <row r="42">
      <c r="A42" s="4" t="n"/>
      <c r="B42" s="4" t="n"/>
      <c r="C42" s="6" t="n"/>
      <c r="D42" s="4" t="n"/>
      <c r="E42" s="4" t="n"/>
      <c r="F42" s="4" t="n"/>
      <c r="G42" s="6" t="n"/>
      <c r="H42" s="6" t="n"/>
      <c r="I42" s="6" t="n"/>
      <c r="J42" s="6" t="n"/>
      <c r="K42">
        <f>IF(OR(C42="",J42=""),"",NETWORKDAYS(C42,J42,Fériés!$A$2:$A$40)-1)</f>
        <v/>
      </c>
      <c r="L42">
        <f>IF(J42="","",IF(H42&lt;&gt;"",IF(J42&lt;=H42,"Oui","NON"),IF(K42&lt;=6,"Oui","NON")))</f>
        <v/>
      </c>
      <c r="M42" s="4" t="n"/>
      <c r="N42" s="4" t="n"/>
      <c r="O42" s="4" t="n"/>
      <c r="P42" s="4" t="n"/>
    </row>
    <row r="43">
      <c r="A43" s="4" t="n"/>
      <c r="B43" s="4" t="n"/>
      <c r="C43" s="6" t="n"/>
      <c r="D43" s="4" t="n"/>
      <c r="E43" s="4" t="n"/>
      <c r="F43" s="4" t="n"/>
      <c r="G43" s="6" t="n"/>
      <c r="H43" s="6" t="n"/>
      <c r="I43" s="6" t="n"/>
      <c r="J43" s="6" t="n"/>
      <c r="K43">
        <f>IF(OR(C43="",J43=""),"",NETWORKDAYS(C43,J43,Fériés!$A$2:$A$40)-1)</f>
        <v/>
      </c>
      <c r="L43">
        <f>IF(J43="","",IF(H43&lt;&gt;"",IF(J43&lt;=H43,"Oui","NON"),IF(K43&lt;=6,"Oui","NON")))</f>
        <v/>
      </c>
      <c r="M43" s="4" t="n"/>
      <c r="N43" s="4" t="n"/>
      <c r="O43" s="4" t="n"/>
      <c r="P43" s="4" t="n"/>
    </row>
    <row r="44">
      <c r="A44" s="4" t="n"/>
      <c r="B44" s="4" t="n"/>
      <c r="C44" s="6" t="n"/>
      <c r="D44" s="4" t="n"/>
      <c r="E44" s="4" t="n"/>
      <c r="F44" s="4" t="n"/>
      <c r="G44" s="6" t="n"/>
      <c r="H44" s="6" t="n"/>
      <c r="I44" s="6" t="n"/>
      <c r="J44" s="6" t="n"/>
      <c r="K44">
        <f>IF(OR(C44="",J44=""),"",NETWORKDAYS(C44,J44,Fériés!$A$2:$A$40)-1)</f>
        <v/>
      </c>
      <c r="L44">
        <f>IF(J44="","",IF(H44&lt;&gt;"",IF(J44&lt;=H44,"Oui","NON"),IF(K44&lt;=6,"Oui","NON")))</f>
        <v/>
      </c>
      <c r="M44" s="4" t="n"/>
      <c r="N44" s="4" t="n"/>
      <c r="O44" s="4" t="n"/>
      <c r="P44" s="4" t="n"/>
    </row>
    <row r="45">
      <c r="A45" s="4" t="n"/>
      <c r="B45" s="4" t="n"/>
      <c r="C45" s="6" t="n"/>
      <c r="D45" s="4" t="n"/>
      <c r="E45" s="4" t="n"/>
      <c r="F45" s="4" t="n"/>
      <c r="G45" s="6" t="n"/>
      <c r="H45" s="6" t="n"/>
      <c r="I45" s="6" t="n"/>
      <c r="J45" s="6" t="n"/>
      <c r="K45">
        <f>IF(OR(C45="",J45=""),"",NETWORKDAYS(C45,J45,Fériés!$A$2:$A$40)-1)</f>
        <v/>
      </c>
      <c r="L45">
        <f>IF(J45="","",IF(H45&lt;&gt;"",IF(J45&lt;=H45,"Oui","NON"),IF(K45&lt;=6,"Oui","NON")))</f>
        <v/>
      </c>
      <c r="M45" s="4" t="n"/>
      <c r="N45" s="4" t="n"/>
      <c r="O45" s="4" t="n"/>
      <c r="P45" s="4" t="n"/>
    </row>
    <row r="46">
      <c r="A46" s="4" t="n"/>
      <c r="B46" s="4" t="n"/>
      <c r="C46" s="6" t="n"/>
      <c r="D46" s="4" t="n"/>
      <c r="E46" s="4" t="n"/>
      <c r="F46" s="4" t="n"/>
      <c r="G46" s="6" t="n"/>
      <c r="H46" s="6" t="n"/>
      <c r="I46" s="6" t="n"/>
      <c r="J46" s="6" t="n"/>
      <c r="K46">
        <f>IF(OR(C46="",J46=""),"",NETWORKDAYS(C46,J46,Fériés!$A$2:$A$40)-1)</f>
        <v/>
      </c>
      <c r="L46">
        <f>IF(J46="","",IF(H46&lt;&gt;"",IF(J46&lt;=H46,"Oui","NON"),IF(K46&lt;=6,"Oui","NON")))</f>
        <v/>
      </c>
      <c r="M46" s="4" t="n"/>
      <c r="N46" s="4" t="n"/>
      <c r="O46" s="4" t="n"/>
      <c r="P46" s="4" t="n"/>
    </row>
    <row r="47">
      <c r="A47" s="4" t="n"/>
      <c r="B47" s="4" t="n"/>
      <c r="C47" s="6" t="n"/>
      <c r="D47" s="4" t="n"/>
      <c r="E47" s="4" t="n"/>
      <c r="F47" s="4" t="n"/>
      <c r="G47" s="6" t="n"/>
      <c r="H47" s="6" t="n"/>
      <c r="I47" s="6" t="n"/>
      <c r="J47" s="6" t="n"/>
      <c r="K47">
        <f>IF(OR(C47="",J47=""),"",NETWORKDAYS(C47,J47,Fériés!$A$2:$A$40)-1)</f>
        <v/>
      </c>
      <c r="L47">
        <f>IF(J47="","",IF(H47&lt;&gt;"",IF(J47&lt;=H47,"Oui","NON"),IF(K47&lt;=6,"Oui","NON")))</f>
        <v/>
      </c>
      <c r="M47" s="4" t="n"/>
      <c r="N47" s="4" t="n"/>
      <c r="O47" s="4" t="n"/>
      <c r="P47" s="4" t="n"/>
    </row>
    <row r="48">
      <c r="A48" s="4" t="n"/>
      <c r="B48" s="4" t="n"/>
      <c r="C48" s="6" t="n"/>
      <c r="D48" s="4" t="n"/>
      <c r="E48" s="4" t="n"/>
      <c r="F48" s="4" t="n"/>
      <c r="G48" s="6" t="n"/>
      <c r="H48" s="6" t="n"/>
      <c r="I48" s="6" t="n"/>
      <c r="J48" s="6" t="n"/>
      <c r="K48">
        <f>IF(OR(C48="",J48=""),"",NETWORKDAYS(C48,J48,Fériés!$A$2:$A$40)-1)</f>
        <v/>
      </c>
      <c r="L48">
        <f>IF(J48="","",IF(H48&lt;&gt;"",IF(J48&lt;=H48,"Oui","NON"),IF(K48&lt;=6,"Oui","NON")))</f>
        <v/>
      </c>
      <c r="M48" s="4" t="n"/>
      <c r="N48" s="4" t="n"/>
      <c r="O48" s="4" t="n"/>
      <c r="P48" s="4" t="n"/>
    </row>
    <row r="49">
      <c r="A49" s="4" t="n"/>
      <c r="B49" s="4" t="n"/>
      <c r="C49" s="6" t="n"/>
      <c r="D49" s="4" t="n"/>
      <c r="E49" s="4" t="n"/>
      <c r="F49" s="4" t="n"/>
      <c r="G49" s="6" t="n"/>
      <c r="H49" s="6" t="n"/>
      <c r="I49" s="6" t="n"/>
      <c r="J49" s="6" t="n"/>
      <c r="K49">
        <f>IF(OR(C49="",J49=""),"",NETWORKDAYS(C49,J49,Fériés!$A$2:$A$40)-1)</f>
        <v/>
      </c>
      <c r="L49">
        <f>IF(J49="","",IF(H49&lt;&gt;"",IF(J49&lt;=H49,"Oui","NON"),IF(K49&lt;=6,"Oui","NON")))</f>
        <v/>
      </c>
      <c r="M49" s="4" t="n"/>
      <c r="N49" s="4" t="n"/>
      <c r="O49" s="4" t="n"/>
      <c r="P49" s="4" t="n"/>
    </row>
    <row r="50">
      <c r="A50" s="4" t="n"/>
      <c r="B50" s="4" t="n"/>
      <c r="C50" s="6" t="n"/>
      <c r="D50" s="4" t="n"/>
      <c r="E50" s="4" t="n"/>
      <c r="F50" s="4" t="n"/>
      <c r="G50" s="6" t="n"/>
      <c r="H50" s="6" t="n"/>
      <c r="I50" s="6" t="n"/>
      <c r="J50" s="6" t="n"/>
      <c r="K50">
        <f>IF(OR(C50="",J50=""),"",NETWORKDAYS(C50,J50,Fériés!$A$2:$A$40)-1)</f>
        <v/>
      </c>
      <c r="L50">
        <f>IF(J50="","",IF(H50&lt;&gt;"",IF(J50&lt;=H50,"Oui","NON"),IF(K50&lt;=6,"Oui","NON")))</f>
        <v/>
      </c>
      <c r="M50" s="4" t="n"/>
      <c r="N50" s="4" t="n"/>
      <c r="O50" s="4" t="n"/>
      <c r="P50" s="4" t="n"/>
    </row>
    <row r="51">
      <c r="A51" s="4" t="n"/>
      <c r="B51" s="4" t="n"/>
      <c r="C51" s="6" t="n"/>
      <c r="D51" s="4" t="n"/>
      <c r="E51" s="4" t="n"/>
      <c r="F51" s="4" t="n"/>
      <c r="G51" s="6" t="n"/>
      <c r="H51" s="6" t="n"/>
      <c r="I51" s="6" t="n"/>
      <c r="J51" s="6" t="n"/>
      <c r="K51">
        <f>IF(OR(C51="",J51=""),"",NETWORKDAYS(C51,J51,Fériés!$A$2:$A$40)-1)</f>
        <v/>
      </c>
      <c r="L51">
        <f>IF(J51="","",IF(H51&lt;&gt;"",IF(J51&lt;=H51,"Oui","NON"),IF(K51&lt;=6,"Oui","NON")))</f>
        <v/>
      </c>
      <c r="M51" s="4" t="n"/>
      <c r="N51" s="4" t="n"/>
      <c r="O51" s="4" t="n"/>
      <c r="P51" s="4" t="n"/>
    </row>
    <row r="52">
      <c r="A52" s="4" t="n"/>
      <c r="B52" s="4" t="n"/>
      <c r="C52" s="6" t="n"/>
      <c r="D52" s="4" t="n"/>
      <c r="E52" s="4" t="n"/>
      <c r="F52" s="4" t="n"/>
      <c r="G52" s="6" t="n"/>
      <c r="H52" s="6" t="n"/>
      <c r="I52" s="6" t="n"/>
      <c r="J52" s="6" t="n"/>
      <c r="K52">
        <f>IF(OR(C52="",J52=""),"",NETWORKDAYS(C52,J52,Fériés!$A$2:$A$40)-1)</f>
        <v/>
      </c>
      <c r="L52">
        <f>IF(J52="","",IF(H52&lt;&gt;"",IF(J52&lt;=H52,"Oui","NON"),IF(K52&lt;=6,"Oui","NON")))</f>
        <v/>
      </c>
      <c r="M52" s="4" t="n"/>
      <c r="N52" s="4" t="n"/>
      <c r="O52" s="4" t="n"/>
      <c r="P52" s="4" t="n"/>
    </row>
    <row r="53">
      <c r="A53" s="4" t="n"/>
      <c r="B53" s="4" t="n"/>
      <c r="C53" s="6" t="n"/>
      <c r="D53" s="4" t="n"/>
      <c r="E53" s="4" t="n"/>
      <c r="F53" s="4" t="n"/>
      <c r="G53" s="6" t="n"/>
      <c r="H53" s="6" t="n"/>
      <c r="I53" s="6" t="n"/>
      <c r="J53" s="6" t="n"/>
      <c r="K53">
        <f>IF(OR(C53="",J53=""),"",NETWORKDAYS(C53,J53,Fériés!$A$2:$A$40)-1)</f>
        <v/>
      </c>
      <c r="L53">
        <f>IF(J53="","",IF(H53&lt;&gt;"",IF(J53&lt;=H53,"Oui","NON"),IF(K53&lt;=6,"Oui","NON")))</f>
        <v/>
      </c>
      <c r="M53" s="4" t="n"/>
      <c r="N53" s="4" t="n"/>
      <c r="O53" s="4" t="n"/>
      <c r="P53" s="4" t="n"/>
    </row>
    <row r="54">
      <c r="A54" s="4" t="n"/>
      <c r="B54" s="4" t="n"/>
      <c r="C54" s="6" t="n"/>
      <c r="D54" s="4" t="n"/>
      <c r="E54" s="4" t="n"/>
      <c r="F54" s="4" t="n"/>
      <c r="G54" s="6" t="n"/>
      <c r="H54" s="6" t="n"/>
      <c r="I54" s="6" t="n"/>
      <c r="J54" s="6" t="n"/>
      <c r="K54">
        <f>IF(OR(C54="",J54=""),"",NETWORKDAYS(C54,J54,Fériés!$A$2:$A$40)-1)</f>
        <v/>
      </c>
      <c r="L54">
        <f>IF(J54="","",IF(H54&lt;&gt;"",IF(J54&lt;=H54,"Oui","NON"),IF(K54&lt;=6,"Oui","NON")))</f>
        <v/>
      </c>
      <c r="M54" s="4" t="n"/>
      <c r="N54" s="4" t="n"/>
      <c r="O54" s="4" t="n"/>
      <c r="P54" s="4" t="n"/>
    </row>
    <row r="55">
      <c r="A55" s="4" t="n"/>
      <c r="B55" s="4" t="n"/>
      <c r="C55" s="6" t="n"/>
      <c r="D55" s="4" t="n"/>
      <c r="E55" s="4" t="n"/>
      <c r="F55" s="4" t="n"/>
      <c r="G55" s="6" t="n"/>
      <c r="H55" s="6" t="n"/>
      <c r="I55" s="6" t="n"/>
      <c r="J55" s="6" t="n"/>
      <c r="K55">
        <f>IF(OR(C55="",J55=""),"",NETWORKDAYS(C55,J55,Fériés!$A$2:$A$40)-1)</f>
        <v/>
      </c>
      <c r="L55">
        <f>IF(J55="","",IF(H55&lt;&gt;"",IF(J55&lt;=H55,"Oui","NON"),IF(K55&lt;=6,"Oui","NON")))</f>
        <v/>
      </c>
      <c r="M55" s="4" t="n"/>
      <c r="N55" s="4" t="n"/>
      <c r="O55" s="4" t="n"/>
      <c r="P55" s="4" t="n"/>
    </row>
    <row r="56">
      <c r="A56" s="4" t="n"/>
      <c r="B56" s="4" t="n"/>
      <c r="C56" s="6" t="n"/>
      <c r="D56" s="4" t="n"/>
      <c r="E56" s="4" t="n"/>
      <c r="F56" s="4" t="n"/>
      <c r="G56" s="6" t="n"/>
      <c r="H56" s="6" t="n"/>
      <c r="I56" s="6" t="n"/>
      <c r="J56" s="6" t="n"/>
      <c r="K56">
        <f>IF(OR(C56="",J56=""),"",NETWORKDAYS(C56,J56,Fériés!$A$2:$A$40)-1)</f>
        <v/>
      </c>
      <c r="L56">
        <f>IF(J56="","",IF(H56&lt;&gt;"",IF(J56&lt;=H56,"Oui","NON"),IF(K56&lt;=6,"Oui","NON")))</f>
        <v/>
      </c>
      <c r="M56" s="4" t="n"/>
      <c r="N56" s="4" t="n"/>
      <c r="O56" s="4" t="n"/>
      <c r="P56" s="4" t="n"/>
    </row>
    <row r="57">
      <c r="A57" s="4" t="n"/>
      <c r="B57" s="4" t="n"/>
      <c r="C57" s="6" t="n"/>
      <c r="D57" s="4" t="n"/>
      <c r="E57" s="4" t="n"/>
      <c r="F57" s="4" t="n"/>
      <c r="G57" s="6" t="n"/>
      <c r="H57" s="6" t="n"/>
      <c r="I57" s="6" t="n"/>
      <c r="J57" s="6" t="n"/>
      <c r="K57">
        <f>IF(OR(C57="",J57=""),"",NETWORKDAYS(C57,J57,Fériés!$A$2:$A$40)-1)</f>
        <v/>
      </c>
      <c r="L57">
        <f>IF(J57="","",IF(H57&lt;&gt;"",IF(J57&lt;=H57,"Oui","NON"),IF(K57&lt;=6,"Oui","NON")))</f>
        <v/>
      </c>
      <c r="M57" s="4" t="n"/>
      <c r="N57" s="4" t="n"/>
      <c r="O57" s="4" t="n"/>
      <c r="P57" s="4" t="n"/>
    </row>
    <row r="58">
      <c r="A58" s="4" t="n"/>
      <c r="B58" s="4" t="n"/>
      <c r="C58" s="6" t="n"/>
      <c r="D58" s="4" t="n"/>
      <c r="E58" s="4" t="n"/>
      <c r="F58" s="4" t="n"/>
      <c r="G58" s="6" t="n"/>
      <c r="H58" s="6" t="n"/>
      <c r="I58" s="6" t="n"/>
      <c r="J58" s="6" t="n"/>
      <c r="K58">
        <f>IF(OR(C58="",J58=""),"",NETWORKDAYS(C58,J58,Fériés!$A$2:$A$40)-1)</f>
        <v/>
      </c>
      <c r="L58">
        <f>IF(J58="","",IF(H58&lt;&gt;"",IF(J58&lt;=H58,"Oui","NON"),IF(K58&lt;=6,"Oui","NON")))</f>
        <v/>
      </c>
      <c r="M58" s="4" t="n"/>
      <c r="N58" s="4" t="n"/>
      <c r="O58" s="4" t="n"/>
      <c r="P58" s="4" t="n"/>
    </row>
    <row r="59">
      <c r="A59" s="4" t="n"/>
      <c r="B59" s="4" t="n"/>
      <c r="C59" s="6" t="n"/>
      <c r="D59" s="4" t="n"/>
      <c r="E59" s="4" t="n"/>
      <c r="F59" s="4" t="n"/>
      <c r="G59" s="6" t="n"/>
      <c r="H59" s="6" t="n"/>
      <c r="I59" s="6" t="n"/>
      <c r="J59" s="6" t="n"/>
      <c r="K59">
        <f>IF(OR(C59="",J59=""),"",NETWORKDAYS(C59,J59,Fériés!$A$2:$A$40)-1)</f>
        <v/>
      </c>
      <c r="L59">
        <f>IF(J59="","",IF(H59&lt;&gt;"",IF(J59&lt;=H59,"Oui","NON"),IF(K59&lt;=6,"Oui","NON")))</f>
        <v/>
      </c>
      <c r="M59" s="4" t="n"/>
      <c r="N59" s="4" t="n"/>
      <c r="O59" s="4" t="n"/>
      <c r="P59" s="4" t="n"/>
    </row>
    <row r="60">
      <c r="A60" s="4" t="n"/>
      <c r="B60" s="4" t="n"/>
      <c r="C60" s="6" t="n"/>
      <c r="D60" s="4" t="n"/>
      <c r="E60" s="4" t="n"/>
      <c r="F60" s="4" t="n"/>
      <c r="G60" s="6" t="n"/>
      <c r="H60" s="6" t="n"/>
      <c r="I60" s="6" t="n"/>
      <c r="J60" s="6" t="n"/>
      <c r="K60">
        <f>IF(OR(C60="",J60=""),"",NETWORKDAYS(C60,J60,Fériés!$A$2:$A$40)-1)</f>
        <v/>
      </c>
      <c r="L60">
        <f>IF(J60="","",IF(H60&lt;&gt;"",IF(J60&lt;=H60,"Oui","NON"),IF(K60&lt;=6,"Oui","NON")))</f>
        <v/>
      </c>
      <c r="M60" s="4" t="n"/>
      <c r="N60" s="4" t="n"/>
      <c r="O60" s="4" t="n"/>
      <c r="P60" s="4" t="n"/>
    </row>
    <row r="61">
      <c r="A61" s="4" t="n"/>
      <c r="B61" s="4" t="n"/>
      <c r="C61" s="6" t="n"/>
      <c r="D61" s="4" t="n"/>
      <c r="E61" s="4" t="n"/>
      <c r="F61" s="4" t="n"/>
      <c r="G61" s="6" t="n"/>
      <c r="H61" s="6" t="n"/>
      <c r="I61" s="6" t="n"/>
      <c r="J61" s="6" t="n"/>
      <c r="K61">
        <f>IF(OR(C61="",J61=""),"",NETWORKDAYS(C61,J61,Fériés!$A$2:$A$40)-1)</f>
        <v/>
      </c>
      <c r="L61">
        <f>IF(J61="","",IF(H61&lt;&gt;"",IF(J61&lt;=H61,"Oui","NON"),IF(K61&lt;=6,"Oui","NON")))</f>
        <v/>
      </c>
      <c r="M61" s="4" t="n"/>
      <c r="N61" s="4" t="n"/>
      <c r="O61" s="4" t="n"/>
      <c r="P61" s="4" t="n"/>
    </row>
    <row r="62">
      <c r="A62" s="4" t="n"/>
      <c r="B62" s="4" t="n"/>
      <c r="C62" s="6" t="n"/>
      <c r="D62" s="4" t="n"/>
      <c r="E62" s="4" t="n"/>
      <c r="F62" s="4" t="n"/>
      <c r="G62" s="6" t="n"/>
      <c r="H62" s="6" t="n"/>
      <c r="I62" s="6" t="n"/>
      <c r="J62" s="6" t="n"/>
      <c r="K62">
        <f>IF(OR(C62="",J62=""),"",NETWORKDAYS(C62,J62,Fériés!$A$2:$A$40)-1)</f>
        <v/>
      </c>
      <c r="L62">
        <f>IF(J62="","",IF(H62&lt;&gt;"",IF(J62&lt;=H62,"Oui","NON"),IF(K62&lt;=6,"Oui","NON")))</f>
        <v/>
      </c>
      <c r="M62" s="4" t="n"/>
      <c r="N62" s="4" t="n"/>
      <c r="O62" s="4" t="n"/>
      <c r="P62" s="4" t="n"/>
    </row>
    <row r="63">
      <c r="A63" s="4" t="n"/>
      <c r="B63" s="4" t="n"/>
      <c r="C63" s="6" t="n"/>
      <c r="D63" s="4" t="n"/>
      <c r="E63" s="4" t="n"/>
      <c r="F63" s="4" t="n"/>
      <c r="G63" s="6" t="n"/>
      <c r="H63" s="6" t="n"/>
      <c r="I63" s="6" t="n"/>
      <c r="J63" s="6" t="n"/>
      <c r="K63">
        <f>IF(OR(C63="",J63=""),"",NETWORKDAYS(C63,J63,Fériés!$A$2:$A$40)-1)</f>
        <v/>
      </c>
      <c r="L63">
        <f>IF(J63="","",IF(H63&lt;&gt;"",IF(J63&lt;=H63,"Oui","NON"),IF(K63&lt;=6,"Oui","NON")))</f>
        <v/>
      </c>
      <c r="M63" s="4" t="n"/>
      <c r="N63" s="4" t="n"/>
      <c r="O63" s="4" t="n"/>
      <c r="P63" s="4" t="n"/>
    </row>
    <row r="64">
      <c r="A64" s="4" t="n"/>
      <c r="B64" s="4" t="n"/>
      <c r="C64" s="6" t="n"/>
      <c r="D64" s="4" t="n"/>
      <c r="E64" s="4" t="n"/>
      <c r="F64" s="4" t="n"/>
      <c r="G64" s="6" t="n"/>
      <c r="H64" s="6" t="n"/>
      <c r="I64" s="6" t="n"/>
      <c r="J64" s="6" t="n"/>
      <c r="K64">
        <f>IF(OR(C64="",J64=""),"",NETWORKDAYS(C64,J64,Fériés!$A$2:$A$40)-1)</f>
        <v/>
      </c>
      <c r="L64">
        <f>IF(J64="","",IF(H64&lt;&gt;"",IF(J64&lt;=H64,"Oui","NON"),IF(K64&lt;=6,"Oui","NON")))</f>
        <v/>
      </c>
      <c r="M64" s="4" t="n"/>
      <c r="N64" s="4" t="n"/>
      <c r="O64" s="4" t="n"/>
      <c r="P64" s="4" t="n"/>
    </row>
    <row r="65">
      <c r="A65" s="4" t="n"/>
      <c r="B65" s="4" t="n"/>
      <c r="C65" s="6" t="n"/>
      <c r="D65" s="4" t="n"/>
      <c r="E65" s="4" t="n"/>
      <c r="F65" s="4" t="n"/>
      <c r="G65" s="6" t="n"/>
      <c r="H65" s="6" t="n"/>
      <c r="I65" s="6" t="n"/>
      <c r="J65" s="6" t="n"/>
      <c r="K65">
        <f>IF(OR(C65="",J65=""),"",NETWORKDAYS(C65,J65,Fériés!$A$2:$A$40)-1)</f>
        <v/>
      </c>
      <c r="L65">
        <f>IF(J65="","",IF(H65&lt;&gt;"",IF(J65&lt;=H65,"Oui","NON"),IF(K65&lt;=6,"Oui","NON")))</f>
        <v/>
      </c>
      <c r="M65" s="4" t="n"/>
      <c r="N65" s="4" t="n"/>
      <c r="O65" s="4" t="n"/>
      <c r="P65" s="4" t="n"/>
    </row>
    <row r="66">
      <c r="A66" s="4" t="n"/>
      <c r="B66" s="4" t="n"/>
      <c r="C66" s="6" t="n"/>
      <c r="D66" s="4" t="n"/>
      <c r="E66" s="4" t="n"/>
      <c r="F66" s="4" t="n"/>
      <c r="G66" s="6" t="n"/>
      <c r="H66" s="6" t="n"/>
      <c r="I66" s="6" t="n"/>
      <c r="J66" s="6" t="n"/>
      <c r="K66">
        <f>IF(OR(C66="",J66=""),"",NETWORKDAYS(C66,J66,Fériés!$A$2:$A$40)-1)</f>
        <v/>
      </c>
      <c r="L66">
        <f>IF(J66="","",IF(H66&lt;&gt;"",IF(J66&lt;=H66,"Oui","NON"),IF(K66&lt;=6,"Oui","NON")))</f>
        <v/>
      </c>
      <c r="M66" s="4" t="n"/>
      <c r="N66" s="4" t="n"/>
      <c r="O66" s="4" t="n"/>
      <c r="P66" s="4" t="n"/>
    </row>
    <row r="67">
      <c r="A67" s="4" t="n"/>
      <c r="B67" s="4" t="n"/>
      <c r="C67" s="6" t="n"/>
      <c r="D67" s="4" t="n"/>
      <c r="E67" s="4" t="n"/>
      <c r="F67" s="4" t="n"/>
      <c r="G67" s="6" t="n"/>
      <c r="H67" s="6" t="n"/>
      <c r="I67" s="6" t="n"/>
      <c r="J67" s="6" t="n"/>
      <c r="K67">
        <f>IF(OR(C67="",J67=""),"",NETWORKDAYS(C67,J67,Fériés!$A$2:$A$40)-1)</f>
        <v/>
      </c>
      <c r="L67">
        <f>IF(J67="","",IF(H67&lt;&gt;"",IF(J67&lt;=H67,"Oui","NON"),IF(K67&lt;=6,"Oui","NON")))</f>
        <v/>
      </c>
      <c r="M67" s="4" t="n"/>
      <c r="N67" s="4" t="n"/>
      <c r="O67" s="4" t="n"/>
      <c r="P67" s="4" t="n"/>
    </row>
    <row r="68">
      <c r="A68" s="4" t="n"/>
      <c r="B68" s="4" t="n"/>
      <c r="C68" s="6" t="n"/>
      <c r="D68" s="4" t="n"/>
      <c r="E68" s="4" t="n"/>
      <c r="F68" s="4" t="n"/>
      <c r="G68" s="6" t="n"/>
      <c r="H68" s="6" t="n"/>
      <c r="I68" s="6" t="n"/>
      <c r="J68" s="6" t="n"/>
      <c r="K68">
        <f>IF(OR(C68="",J68=""),"",NETWORKDAYS(C68,J68,Fériés!$A$2:$A$40)-1)</f>
        <v/>
      </c>
      <c r="L68">
        <f>IF(J68="","",IF(H68&lt;&gt;"",IF(J68&lt;=H68,"Oui","NON"),IF(K68&lt;=6,"Oui","NON")))</f>
        <v/>
      </c>
      <c r="M68" s="4" t="n"/>
      <c r="N68" s="4" t="n"/>
      <c r="O68" s="4" t="n"/>
      <c r="P68" s="4" t="n"/>
    </row>
    <row r="69">
      <c r="A69" s="4" t="n"/>
      <c r="B69" s="4" t="n"/>
      <c r="C69" s="6" t="n"/>
      <c r="D69" s="4" t="n"/>
      <c r="E69" s="4" t="n"/>
      <c r="F69" s="4" t="n"/>
      <c r="G69" s="6" t="n"/>
      <c r="H69" s="6" t="n"/>
      <c r="I69" s="6" t="n"/>
      <c r="J69" s="6" t="n"/>
      <c r="K69">
        <f>IF(OR(C69="",J69=""),"",NETWORKDAYS(C69,J69,Fériés!$A$2:$A$40)-1)</f>
        <v/>
      </c>
      <c r="L69">
        <f>IF(J69="","",IF(H69&lt;&gt;"",IF(J69&lt;=H69,"Oui","NON"),IF(K69&lt;=6,"Oui","NON")))</f>
        <v/>
      </c>
      <c r="M69" s="4" t="n"/>
      <c r="N69" s="4" t="n"/>
      <c r="O69" s="4" t="n"/>
      <c r="P69" s="4" t="n"/>
    </row>
    <row r="70">
      <c r="A70" s="4" t="n"/>
      <c r="B70" s="4" t="n"/>
      <c r="C70" s="6" t="n"/>
      <c r="D70" s="4" t="n"/>
      <c r="E70" s="4" t="n"/>
      <c r="F70" s="4" t="n"/>
      <c r="G70" s="6" t="n"/>
      <c r="H70" s="6" t="n"/>
      <c r="I70" s="6" t="n"/>
      <c r="J70" s="6" t="n"/>
      <c r="K70">
        <f>IF(OR(C70="",J70=""),"",NETWORKDAYS(C70,J70,Fériés!$A$2:$A$40)-1)</f>
        <v/>
      </c>
      <c r="L70">
        <f>IF(J70="","",IF(H70&lt;&gt;"",IF(J70&lt;=H70,"Oui","NON"),IF(K70&lt;=6,"Oui","NON")))</f>
        <v/>
      </c>
      <c r="M70" s="4" t="n"/>
      <c r="N70" s="4" t="n"/>
      <c r="O70" s="4" t="n"/>
      <c r="P70" s="4" t="n"/>
    </row>
    <row r="71">
      <c r="A71" s="4" t="n"/>
      <c r="B71" s="4" t="n"/>
      <c r="C71" s="6" t="n"/>
      <c r="D71" s="4" t="n"/>
      <c r="E71" s="4" t="n"/>
      <c r="F71" s="4" t="n"/>
      <c r="G71" s="6" t="n"/>
      <c r="H71" s="6" t="n"/>
      <c r="I71" s="6" t="n"/>
      <c r="J71" s="6" t="n"/>
      <c r="K71">
        <f>IF(OR(C71="",J71=""),"",NETWORKDAYS(C71,J71,Fériés!$A$2:$A$40)-1)</f>
        <v/>
      </c>
      <c r="L71">
        <f>IF(J71="","",IF(H71&lt;&gt;"",IF(J71&lt;=H71,"Oui","NON"),IF(K71&lt;=6,"Oui","NON")))</f>
        <v/>
      </c>
      <c r="M71" s="4" t="n"/>
      <c r="N71" s="4" t="n"/>
      <c r="O71" s="4" t="n"/>
      <c r="P71" s="4" t="n"/>
    </row>
    <row r="72">
      <c r="A72" s="4" t="n"/>
      <c r="B72" s="4" t="n"/>
      <c r="C72" s="6" t="n"/>
      <c r="D72" s="4" t="n"/>
      <c r="E72" s="4" t="n"/>
      <c r="F72" s="4" t="n"/>
      <c r="G72" s="6" t="n"/>
      <c r="H72" s="6" t="n"/>
      <c r="I72" s="6" t="n"/>
      <c r="J72" s="6" t="n"/>
      <c r="K72">
        <f>IF(OR(C72="",J72=""),"",NETWORKDAYS(C72,J72,Fériés!$A$2:$A$40)-1)</f>
        <v/>
      </c>
      <c r="L72">
        <f>IF(J72="","",IF(H72&lt;&gt;"",IF(J72&lt;=H72,"Oui","NON"),IF(K72&lt;=6,"Oui","NON")))</f>
        <v/>
      </c>
      <c r="M72" s="4" t="n"/>
      <c r="N72" s="4" t="n"/>
      <c r="O72" s="4" t="n"/>
      <c r="P72" s="4" t="n"/>
    </row>
    <row r="73">
      <c r="A73" s="4" t="n"/>
      <c r="B73" s="4" t="n"/>
      <c r="C73" s="6" t="n"/>
      <c r="D73" s="4" t="n"/>
      <c r="E73" s="4" t="n"/>
      <c r="F73" s="4" t="n"/>
      <c r="G73" s="6" t="n"/>
      <c r="H73" s="6" t="n"/>
      <c r="I73" s="6" t="n"/>
      <c r="J73" s="6" t="n"/>
      <c r="K73">
        <f>IF(OR(C73="",J73=""),"",NETWORKDAYS(C73,J73,Fériés!$A$2:$A$40)-1)</f>
        <v/>
      </c>
      <c r="L73">
        <f>IF(J73="","",IF(H73&lt;&gt;"",IF(J73&lt;=H73,"Oui","NON"),IF(K73&lt;=6,"Oui","NON")))</f>
        <v/>
      </c>
      <c r="M73" s="4" t="n"/>
      <c r="N73" s="4" t="n"/>
      <c r="O73" s="4" t="n"/>
      <c r="P73" s="4" t="n"/>
    </row>
    <row r="74">
      <c r="A74" s="4" t="n"/>
      <c r="B74" s="4" t="n"/>
      <c r="C74" s="6" t="n"/>
      <c r="D74" s="4" t="n"/>
      <c r="E74" s="4" t="n"/>
      <c r="F74" s="4" t="n"/>
      <c r="G74" s="6" t="n"/>
      <c r="H74" s="6" t="n"/>
      <c r="I74" s="6" t="n"/>
      <c r="J74" s="6" t="n"/>
      <c r="K74">
        <f>IF(OR(C74="",J74=""),"",NETWORKDAYS(C74,J74,Fériés!$A$2:$A$40)-1)</f>
        <v/>
      </c>
      <c r="L74">
        <f>IF(J74="","",IF(H74&lt;&gt;"",IF(J74&lt;=H74,"Oui","NON"),IF(K74&lt;=6,"Oui","NON")))</f>
        <v/>
      </c>
      <c r="M74" s="4" t="n"/>
      <c r="N74" s="4" t="n"/>
      <c r="O74" s="4" t="n"/>
      <c r="P74" s="4" t="n"/>
    </row>
    <row r="75">
      <c r="A75" s="4" t="n"/>
      <c r="B75" s="4" t="n"/>
      <c r="C75" s="6" t="n"/>
      <c r="D75" s="4" t="n"/>
      <c r="E75" s="4" t="n"/>
      <c r="F75" s="4" t="n"/>
      <c r="G75" s="6" t="n"/>
      <c r="H75" s="6" t="n"/>
      <c r="I75" s="6" t="n"/>
      <c r="J75" s="6" t="n"/>
      <c r="K75">
        <f>IF(OR(C75="",J75=""),"",NETWORKDAYS(C75,J75,Fériés!$A$2:$A$40)-1)</f>
        <v/>
      </c>
      <c r="L75">
        <f>IF(J75="","",IF(H75&lt;&gt;"",IF(J75&lt;=H75,"Oui","NON"),IF(K75&lt;=6,"Oui","NON")))</f>
        <v/>
      </c>
      <c r="M75" s="4" t="n"/>
      <c r="N75" s="4" t="n"/>
      <c r="O75" s="4" t="n"/>
      <c r="P75" s="4" t="n"/>
    </row>
    <row r="76">
      <c r="A76" s="4" t="n"/>
      <c r="B76" s="4" t="n"/>
      <c r="C76" s="6" t="n"/>
      <c r="D76" s="4" t="n"/>
      <c r="E76" s="4" t="n"/>
      <c r="F76" s="4" t="n"/>
      <c r="G76" s="6" t="n"/>
      <c r="H76" s="6" t="n"/>
      <c r="I76" s="6" t="n"/>
      <c r="J76" s="6" t="n"/>
      <c r="K76">
        <f>IF(OR(C76="",J76=""),"",NETWORKDAYS(C76,J76,Fériés!$A$2:$A$40)-1)</f>
        <v/>
      </c>
      <c r="L76">
        <f>IF(J76="","",IF(H76&lt;&gt;"",IF(J76&lt;=H76,"Oui","NON"),IF(K76&lt;=6,"Oui","NON")))</f>
        <v/>
      </c>
      <c r="M76" s="4" t="n"/>
      <c r="N76" s="4" t="n"/>
      <c r="O76" s="4" t="n"/>
      <c r="P76" s="4" t="n"/>
    </row>
    <row r="77">
      <c r="A77" s="4" t="n"/>
      <c r="B77" s="4" t="n"/>
      <c r="C77" s="6" t="n"/>
      <c r="D77" s="4" t="n"/>
      <c r="E77" s="4" t="n"/>
      <c r="F77" s="4" t="n"/>
      <c r="G77" s="6" t="n"/>
      <c r="H77" s="6" t="n"/>
      <c r="I77" s="6" t="n"/>
      <c r="J77" s="6" t="n"/>
      <c r="K77">
        <f>IF(OR(C77="",J77=""),"",NETWORKDAYS(C77,J77,Fériés!$A$2:$A$40)-1)</f>
        <v/>
      </c>
      <c r="L77">
        <f>IF(J77="","",IF(H77&lt;&gt;"",IF(J77&lt;=H77,"Oui","NON"),IF(K77&lt;=6,"Oui","NON")))</f>
        <v/>
      </c>
      <c r="M77" s="4" t="n"/>
      <c r="N77" s="4" t="n"/>
      <c r="O77" s="4" t="n"/>
      <c r="P77" s="4" t="n"/>
    </row>
    <row r="78">
      <c r="A78" s="4" t="n"/>
      <c r="B78" s="4" t="n"/>
      <c r="C78" s="6" t="n"/>
      <c r="D78" s="4" t="n"/>
      <c r="E78" s="4" t="n"/>
      <c r="F78" s="4" t="n"/>
      <c r="G78" s="6" t="n"/>
      <c r="H78" s="6" t="n"/>
      <c r="I78" s="6" t="n"/>
      <c r="J78" s="6" t="n"/>
      <c r="K78">
        <f>IF(OR(C78="",J78=""),"",NETWORKDAYS(C78,J78,Fériés!$A$2:$A$40)-1)</f>
        <v/>
      </c>
      <c r="L78">
        <f>IF(J78="","",IF(H78&lt;&gt;"",IF(J78&lt;=H78,"Oui","NON"),IF(K78&lt;=6,"Oui","NON")))</f>
        <v/>
      </c>
      <c r="M78" s="4" t="n"/>
      <c r="N78" s="4" t="n"/>
      <c r="O78" s="4" t="n"/>
      <c r="P78" s="4" t="n"/>
    </row>
    <row r="79">
      <c r="A79" s="4" t="n"/>
      <c r="B79" s="4" t="n"/>
      <c r="C79" s="6" t="n"/>
      <c r="D79" s="4" t="n"/>
      <c r="E79" s="4" t="n"/>
      <c r="F79" s="4" t="n"/>
      <c r="G79" s="6" t="n"/>
      <c r="H79" s="6" t="n"/>
      <c r="I79" s="6" t="n"/>
      <c r="J79" s="6" t="n"/>
      <c r="K79">
        <f>IF(OR(C79="",J79=""),"",NETWORKDAYS(C79,J79,Fériés!$A$2:$A$40)-1)</f>
        <v/>
      </c>
      <c r="L79">
        <f>IF(J79="","",IF(H79&lt;&gt;"",IF(J79&lt;=H79,"Oui","NON"),IF(K79&lt;=6,"Oui","NON")))</f>
        <v/>
      </c>
      <c r="M79" s="4" t="n"/>
      <c r="N79" s="4" t="n"/>
      <c r="O79" s="4" t="n"/>
      <c r="P79" s="4" t="n"/>
    </row>
    <row r="80">
      <c r="A80" s="4" t="n"/>
      <c r="B80" s="4" t="n"/>
      <c r="C80" s="6" t="n"/>
      <c r="D80" s="4" t="n"/>
      <c r="E80" s="4" t="n"/>
      <c r="F80" s="4" t="n"/>
      <c r="G80" s="6" t="n"/>
      <c r="H80" s="6" t="n"/>
      <c r="I80" s="6" t="n"/>
      <c r="J80" s="6" t="n"/>
      <c r="K80">
        <f>IF(OR(C80="",J80=""),"",NETWORKDAYS(C80,J80,Fériés!$A$2:$A$40)-1)</f>
        <v/>
      </c>
      <c r="L80">
        <f>IF(J80="","",IF(H80&lt;&gt;"",IF(J80&lt;=H80,"Oui","NON"),IF(K80&lt;=6,"Oui","NON")))</f>
        <v/>
      </c>
      <c r="M80" s="4" t="n"/>
      <c r="N80" s="4" t="n"/>
      <c r="O80" s="4" t="n"/>
      <c r="P80" s="4" t="n"/>
    </row>
    <row r="81">
      <c r="A81" s="4" t="n"/>
      <c r="B81" s="4" t="n"/>
      <c r="C81" s="6" t="n"/>
      <c r="D81" s="4" t="n"/>
      <c r="E81" s="4" t="n"/>
      <c r="F81" s="4" t="n"/>
      <c r="G81" s="6" t="n"/>
      <c r="H81" s="6" t="n"/>
      <c r="I81" s="6" t="n"/>
      <c r="J81" s="6" t="n"/>
      <c r="K81">
        <f>IF(OR(C81="",J81=""),"",NETWORKDAYS(C81,J81,Fériés!$A$2:$A$40)-1)</f>
        <v/>
      </c>
      <c r="L81">
        <f>IF(J81="","",IF(H81&lt;&gt;"",IF(J81&lt;=H81,"Oui","NON"),IF(K81&lt;=6,"Oui","NON")))</f>
        <v/>
      </c>
      <c r="M81" s="4" t="n"/>
      <c r="N81" s="4" t="n"/>
      <c r="O81" s="4" t="n"/>
      <c r="P81" s="4" t="n"/>
    </row>
    <row r="82">
      <c r="A82" s="4" t="n"/>
      <c r="B82" s="4" t="n"/>
      <c r="C82" s="6" t="n"/>
      <c r="D82" s="4" t="n"/>
      <c r="E82" s="4" t="n"/>
      <c r="F82" s="4" t="n"/>
      <c r="G82" s="6" t="n"/>
      <c r="H82" s="6" t="n"/>
      <c r="I82" s="6" t="n"/>
      <c r="J82" s="6" t="n"/>
      <c r="K82">
        <f>IF(OR(C82="",J82=""),"",NETWORKDAYS(C82,J82,Fériés!$A$2:$A$40)-1)</f>
        <v/>
      </c>
      <c r="L82">
        <f>IF(J82="","",IF(H82&lt;&gt;"",IF(J82&lt;=H82,"Oui","NON"),IF(K82&lt;=6,"Oui","NON")))</f>
        <v/>
      </c>
      <c r="M82" s="4" t="n"/>
      <c r="N82" s="4" t="n"/>
      <c r="O82" s="4" t="n"/>
      <c r="P82" s="4" t="n"/>
    </row>
    <row r="83">
      <c r="A83" s="4" t="n"/>
      <c r="B83" s="4" t="n"/>
      <c r="C83" s="6" t="n"/>
      <c r="D83" s="4" t="n"/>
      <c r="E83" s="4" t="n"/>
      <c r="F83" s="4" t="n"/>
      <c r="G83" s="6" t="n"/>
      <c r="H83" s="6" t="n"/>
      <c r="I83" s="6" t="n"/>
      <c r="J83" s="6" t="n"/>
      <c r="K83">
        <f>IF(OR(C83="",J83=""),"",NETWORKDAYS(C83,J83,Fériés!$A$2:$A$40)-1)</f>
        <v/>
      </c>
      <c r="L83">
        <f>IF(J83="","",IF(H83&lt;&gt;"",IF(J83&lt;=H83,"Oui","NON"),IF(K83&lt;=6,"Oui","NON")))</f>
        <v/>
      </c>
      <c r="M83" s="4" t="n"/>
      <c r="N83" s="4" t="n"/>
      <c r="O83" s="4" t="n"/>
      <c r="P83" s="4" t="n"/>
    </row>
    <row r="84">
      <c r="A84" s="4" t="n"/>
      <c r="B84" s="4" t="n"/>
      <c r="C84" s="6" t="n"/>
      <c r="D84" s="4" t="n"/>
      <c r="E84" s="4" t="n"/>
      <c r="F84" s="4" t="n"/>
      <c r="G84" s="6" t="n"/>
      <c r="H84" s="6" t="n"/>
      <c r="I84" s="6" t="n"/>
      <c r="J84" s="6" t="n"/>
      <c r="K84">
        <f>IF(OR(C84="",J84=""),"",NETWORKDAYS(C84,J84,Fériés!$A$2:$A$40)-1)</f>
        <v/>
      </c>
      <c r="L84">
        <f>IF(J84="","",IF(H84&lt;&gt;"",IF(J84&lt;=H84,"Oui","NON"),IF(K84&lt;=6,"Oui","NON")))</f>
        <v/>
      </c>
      <c r="M84" s="4" t="n"/>
      <c r="N84" s="4" t="n"/>
      <c r="O84" s="4" t="n"/>
      <c r="P84" s="4" t="n"/>
    </row>
    <row r="85">
      <c r="A85" s="4" t="n"/>
      <c r="B85" s="4" t="n"/>
      <c r="C85" s="6" t="n"/>
      <c r="D85" s="4" t="n"/>
      <c r="E85" s="4" t="n"/>
      <c r="F85" s="4" t="n"/>
      <c r="G85" s="6" t="n"/>
      <c r="H85" s="6" t="n"/>
      <c r="I85" s="6" t="n"/>
      <c r="J85" s="6" t="n"/>
      <c r="K85">
        <f>IF(OR(C85="",J85=""),"",NETWORKDAYS(C85,J85,Fériés!$A$2:$A$40)-1)</f>
        <v/>
      </c>
      <c r="L85">
        <f>IF(J85="","",IF(H85&lt;&gt;"",IF(J85&lt;=H85,"Oui","NON"),IF(K85&lt;=6,"Oui","NON")))</f>
        <v/>
      </c>
      <c r="M85" s="4" t="n"/>
      <c r="N85" s="4" t="n"/>
      <c r="O85" s="4" t="n"/>
      <c r="P85" s="4" t="n"/>
    </row>
    <row r="86">
      <c r="A86" s="4" t="n"/>
      <c r="B86" s="4" t="n"/>
      <c r="C86" s="6" t="n"/>
      <c r="D86" s="4" t="n"/>
      <c r="E86" s="4" t="n"/>
      <c r="F86" s="4" t="n"/>
      <c r="G86" s="6" t="n"/>
      <c r="H86" s="6" t="n"/>
      <c r="I86" s="6" t="n"/>
      <c r="J86" s="6" t="n"/>
      <c r="K86">
        <f>IF(OR(C86="",J86=""),"",NETWORKDAYS(C86,J86,Fériés!$A$2:$A$40)-1)</f>
        <v/>
      </c>
      <c r="L86">
        <f>IF(J86="","",IF(H86&lt;&gt;"",IF(J86&lt;=H86,"Oui","NON"),IF(K86&lt;=6,"Oui","NON")))</f>
        <v/>
      </c>
      <c r="M86" s="4" t="n"/>
      <c r="N86" s="4" t="n"/>
      <c r="O86" s="4" t="n"/>
      <c r="P86" s="4" t="n"/>
    </row>
    <row r="87">
      <c r="A87" s="4" t="n"/>
      <c r="B87" s="4" t="n"/>
      <c r="C87" s="6" t="n"/>
      <c r="D87" s="4" t="n"/>
      <c r="E87" s="4" t="n"/>
      <c r="F87" s="4" t="n"/>
      <c r="G87" s="6" t="n"/>
      <c r="H87" s="6" t="n"/>
      <c r="I87" s="6" t="n"/>
      <c r="J87" s="6" t="n"/>
      <c r="K87">
        <f>IF(OR(C87="",J87=""),"",NETWORKDAYS(C87,J87,Fériés!$A$2:$A$40)-1)</f>
        <v/>
      </c>
      <c r="L87">
        <f>IF(J87="","",IF(H87&lt;&gt;"",IF(J87&lt;=H87,"Oui","NON"),IF(K87&lt;=6,"Oui","NON")))</f>
        <v/>
      </c>
      <c r="M87" s="4" t="n"/>
      <c r="N87" s="4" t="n"/>
      <c r="O87" s="4" t="n"/>
      <c r="P87" s="4" t="n"/>
    </row>
    <row r="88">
      <c r="A88" s="4" t="n"/>
      <c r="B88" s="4" t="n"/>
      <c r="C88" s="6" t="n"/>
      <c r="D88" s="4" t="n"/>
      <c r="E88" s="4" t="n"/>
      <c r="F88" s="4" t="n"/>
      <c r="G88" s="6" t="n"/>
      <c r="H88" s="6" t="n"/>
      <c r="I88" s="6" t="n"/>
      <c r="J88" s="6" t="n"/>
      <c r="K88">
        <f>IF(OR(C88="",J88=""),"",NETWORKDAYS(C88,J88,Fériés!$A$2:$A$40)-1)</f>
        <v/>
      </c>
      <c r="L88">
        <f>IF(J88="","",IF(H88&lt;&gt;"",IF(J88&lt;=H88,"Oui","NON"),IF(K88&lt;=6,"Oui","NON")))</f>
        <v/>
      </c>
      <c r="M88" s="4" t="n"/>
      <c r="N88" s="4" t="n"/>
      <c r="O88" s="4" t="n"/>
      <c r="P88" s="4" t="n"/>
    </row>
    <row r="89">
      <c r="A89" s="4" t="n"/>
      <c r="B89" s="4" t="n"/>
      <c r="C89" s="6" t="n"/>
      <c r="D89" s="4" t="n"/>
      <c r="E89" s="4" t="n"/>
      <c r="F89" s="4" t="n"/>
      <c r="G89" s="6" t="n"/>
      <c r="H89" s="6" t="n"/>
      <c r="I89" s="6" t="n"/>
      <c r="J89" s="6" t="n"/>
      <c r="K89">
        <f>IF(OR(C89="",J89=""),"",NETWORKDAYS(C89,J89,Fériés!$A$2:$A$40)-1)</f>
        <v/>
      </c>
      <c r="L89">
        <f>IF(J89="","",IF(H89&lt;&gt;"",IF(J89&lt;=H89,"Oui","NON"),IF(K89&lt;=6,"Oui","NON")))</f>
        <v/>
      </c>
      <c r="M89" s="4" t="n"/>
      <c r="N89" s="4" t="n"/>
      <c r="O89" s="4" t="n"/>
      <c r="P89" s="4" t="n"/>
    </row>
    <row r="90">
      <c r="A90" s="4" t="n"/>
      <c r="B90" s="4" t="n"/>
      <c r="C90" s="6" t="n"/>
      <c r="D90" s="4" t="n"/>
      <c r="E90" s="4" t="n"/>
      <c r="F90" s="4" t="n"/>
      <c r="G90" s="6" t="n"/>
      <c r="H90" s="6" t="n"/>
      <c r="I90" s="6" t="n"/>
      <c r="J90" s="6" t="n"/>
      <c r="K90">
        <f>IF(OR(C90="",J90=""),"",NETWORKDAYS(C90,J90,Fériés!$A$2:$A$40)-1)</f>
        <v/>
      </c>
      <c r="L90">
        <f>IF(J90="","",IF(H90&lt;&gt;"",IF(J90&lt;=H90,"Oui","NON"),IF(K90&lt;=6,"Oui","NON")))</f>
        <v/>
      </c>
      <c r="M90" s="4" t="n"/>
      <c r="N90" s="4" t="n"/>
      <c r="O90" s="4" t="n"/>
      <c r="P90" s="4" t="n"/>
    </row>
    <row r="91">
      <c r="A91" s="4" t="n"/>
      <c r="B91" s="4" t="n"/>
      <c r="C91" s="6" t="n"/>
      <c r="D91" s="4" t="n"/>
      <c r="E91" s="4" t="n"/>
      <c r="F91" s="4" t="n"/>
      <c r="G91" s="6" t="n"/>
      <c r="H91" s="6" t="n"/>
      <c r="I91" s="6" t="n"/>
      <c r="J91" s="6" t="n"/>
      <c r="K91">
        <f>IF(OR(C91="",J91=""),"",NETWORKDAYS(C91,J91,Fériés!$A$2:$A$40)-1)</f>
        <v/>
      </c>
      <c r="L91">
        <f>IF(J91="","",IF(H91&lt;&gt;"",IF(J91&lt;=H91,"Oui","NON"),IF(K91&lt;=6,"Oui","NON")))</f>
        <v/>
      </c>
      <c r="M91" s="4" t="n"/>
      <c r="N91" s="4" t="n"/>
      <c r="O91" s="4" t="n"/>
      <c r="P91" s="4" t="n"/>
    </row>
    <row r="92">
      <c r="A92" s="4" t="n"/>
      <c r="B92" s="4" t="n"/>
      <c r="C92" s="6" t="n"/>
      <c r="D92" s="4" t="n"/>
      <c r="E92" s="4" t="n"/>
      <c r="F92" s="4" t="n"/>
      <c r="G92" s="6" t="n"/>
      <c r="H92" s="6" t="n"/>
      <c r="I92" s="6" t="n"/>
      <c r="J92" s="6" t="n"/>
      <c r="K92">
        <f>IF(OR(C92="",J92=""),"",NETWORKDAYS(C92,J92,Fériés!$A$2:$A$40)-1)</f>
        <v/>
      </c>
      <c r="L92">
        <f>IF(J92="","",IF(H92&lt;&gt;"",IF(J92&lt;=H92,"Oui","NON"),IF(K92&lt;=6,"Oui","NON")))</f>
        <v/>
      </c>
      <c r="M92" s="4" t="n"/>
      <c r="N92" s="4" t="n"/>
      <c r="O92" s="4" t="n"/>
      <c r="P92" s="4" t="n"/>
    </row>
    <row r="93">
      <c r="A93" s="4" t="n"/>
      <c r="B93" s="4" t="n"/>
      <c r="C93" s="6" t="n"/>
      <c r="D93" s="4" t="n"/>
      <c r="E93" s="4" t="n"/>
      <c r="F93" s="4" t="n"/>
      <c r="G93" s="6" t="n"/>
      <c r="H93" s="6" t="n"/>
      <c r="I93" s="6" t="n"/>
      <c r="J93" s="6" t="n"/>
      <c r="K93">
        <f>IF(OR(C93="",J93=""),"",NETWORKDAYS(C93,J93,Fériés!$A$2:$A$40)-1)</f>
        <v/>
      </c>
      <c r="L93">
        <f>IF(J93="","",IF(H93&lt;&gt;"",IF(J93&lt;=H93,"Oui","NON"),IF(K93&lt;=6,"Oui","NON")))</f>
        <v/>
      </c>
      <c r="M93" s="4" t="n"/>
      <c r="N93" s="4" t="n"/>
      <c r="O93" s="4" t="n"/>
      <c r="P93" s="4" t="n"/>
    </row>
    <row r="94">
      <c r="A94" s="4" t="n"/>
      <c r="B94" s="4" t="n"/>
      <c r="C94" s="6" t="n"/>
      <c r="D94" s="4" t="n"/>
      <c r="E94" s="4" t="n"/>
      <c r="F94" s="4" t="n"/>
      <c r="G94" s="6" t="n"/>
      <c r="H94" s="6" t="n"/>
      <c r="I94" s="6" t="n"/>
      <c r="J94" s="6" t="n"/>
      <c r="K94">
        <f>IF(OR(C94="",J94=""),"",NETWORKDAYS(C94,J94,Fériés!$A$2:$A$40)-1)</f>
        <v/>
      </c>
      <c r="L94">
        <f>IF(J94="","",IF(H94&lt;&gt;"",IF(J94&lt;=H94,"Oui","NON"),IF(K94&lt;=6,"Oui","NON")))</f>
        <v/>
      </c>
      <c r="M94" s="4" t="n"/>
      <c r="N94" s="4" t="n"/>
      <c r="O94" s="4" t="n"/>
      <c r="P94" s="4" t="n"/>
    </row>
    <row r="95">
      <c r="A95" s="4" t="n"/>
      <c r="B95" s="4" t="n"/>
      <c r="C95" s="6" t="n"/>
      <c r="D95" s="4" t="n"/>
      <c r="E95" s="4" t="n"/>
      <c r="F95" s="4" t="n"/>
      <c r="G95" s="6" t="n"/>
      <c r="H95" s="6" t="n"/>
      <c r="I95" s="6" t="n"/>
      <c r="J95" s="6" t="n"/>
      <c r="K95">
        <f>IF(OR(C95="",J95=""),"",NETWORKDAYS(C95,J95,Fériés!$A$2:$A$40)-1)</f>
        <v/>
      </c>
      <c r="L95">
        <f>IF(J95="","",IF(H95&lt;&gt;"",IF(J95&lt;=H95,"Oui","NON"),IF(K95&lt;=6,"Oui","NON")))</f>
        <v/>
      </c>
      <c r="M95" s="4" t="n"/>
      <c r="N95" s="4" t="n"/>
      <c r="O95" s="4" t="n"/>
      <c r="P95" s="4" t="n"/>
    </row>
    <row r="96">
      <c r="A96" s="4" t="n"/>
      <c r="B96" s="4" t="n"/>
      <c r="C96" s="6" t="n"/>
      <c r="D96" s="4" t="n"/>
      <c r="E96" s="4" t="n"/>
      <c r="F96" s="4" t="n"/>
      <c r="G96" s="6" t="n"/>
      <c r="H96" s="6" t="n"/>
      <c r="I96" s="6" t="n"/>
      <c r="J96" s="6" t="n"/>
      <c r="K96">
        <f>IF(OR(C96="",J96=""),"",NETWORKDAYS(C96,J96,Fériés!$A$2:$A$40)-1)</f>
        <v/>
      </c>
      <c r="L96">
        <f>IF(J96="","",IF(H96&lt;&gt;"",IF(J96&lt;=H96,"Oui","NON"),IF(K96&lt;=6,"Oui","NON")))</f>
        <v/>
      </c>
      <c r="M96" s="4" t="n"/>
      <c r="N96" s="4" t="n"/>
      <c r="O96" s="4" t="n"/>
      <c r="P96" s="4" t="n"/>
    </row>
    <row r="97">
      <c r="A97" s="4" t="n"/>
      <c r="B97" s="4" t="n"/>
      <c r="C97" s="6" t="n"/>
      <c r="D97" s="4" t="n"/>
      <c r="E97" s="4" t="n"/>
      <c r="F97" s="4" t="n"/>
      <c r="G97" s="6" t="n"/>
      <c r="H97" s="6" t="n"/>
      <c r="I97" s="6" t="n"/>
      <c r="J97" s="6" t="n"/>
      <c r="K97">
        <f>IF(OR(C97="",J97=""),"",NETWORKDAYS(C97,J97,Fériés!$A$2:$A$40)-1)</f>
        <v/>
      </c>
      <c r="L97">
        <f>IF(J97="","",IF(H97&lt;&gt;"",IF(J97&lt;=H97,"Oui","NON"),IF(K97&lt;=6,"Oui","NON")))</f>
        <v/>
      </c>
      <c r="M97" s="4" t="n"/>
      <c r="N97" s="4" t="n"/>
      <c r="O97" s="4" t="n"/>
      <c r="P97" s="4" t="n"/>
    </row>
    <row r="98">
      <c r="A98" s="4" t="n"/>
      <c r="B98" s="4" t="n"/>
      <c r="C98" s="6" t="n"/>
      <c r="D98" s="4" t="n"/>
      <c r="E98" s="4" t="n"/>
      <c r="F98" s="4" t="n"/>
      <c r="G98" s="6" t="n"/>
      <c r="H98" s="6" t="n"/>
      <c r="I98" s="6" t="n"/>
      <c r="J98" s="6" t="n"/>
      <c r="K98">
        <f>IF(OR(C98="",J98=""),"",NETWORKDAYS(C98,J98,Fériés!$A$2:$A$40)-1)</f>
        <v/>
      </c>
      <c r="L98">
        <f>IF(J98="","",IF(H98&lt;&gt;"",IF(J98&lt;=H98,"Oui","NON"),IF(K98&lt;=6,"Oui","NON")))</f>
        <v/>
      </c>
      <c r="M98" s="4" t="n"/>
      <c r="N98" s="4" t="n"/>
      <c r="O98" s="4" t="n"/>
      <c r="P98" s="4" t="n"/>
    </row>
    <row r="99">
      <c r="A99" s="4" t="n"/>
      <c r="B99" s="4" t="n"/>
      <c r="C99" s="6" t="n"/>
      <c r="D99" s="4" t="n"/>
      <c r="E99" s="4" t="n"/>
      <c r="F99" s="4" t="n"/>
      <c r="G99" s="6" t="n"/>
      <c r="H99" s="6" t="n"/>
      <c r="I99" s="6" t="n"/>
      <c r="J99" s="6" t="n"/>
      <c r="K99">
        <f>IF(OR(C99="",J99=""),"",NETWORKDAYS(C99,J99,Fériés!$A$2:$A$40)-1)</f>
        <v/>
      </c>
      <c r="L99">
        <f>IF(J99="","",IF(H99&lt;&gt;"",IF(J99&lt;=H99,"Oui","NON"),IF(K99&lt;=6,"Oui","NON")))</f>
        <v/>
      </c>
      <c r="M99" s="4" t="n"/>
      <c r="N99" s="4" t="n"/>
      <c r="O99" s="4" t="n"/>
      <c r="P99" s="4" t="n"/>
    </row>
    <row r="100">
      <c r="A100" s="4" t="n"/>
      <c r="B100" s="4" t="n"/>
      <c r="C100" s="6" t="n"/>
      <c r="D100" s="4" t="n"/>
      <c r="E100" s="4" t="n"/>
      <c r="F100" s="4" t="n"/>
      <c r="G100" s="6" t="n"/>
      <c r="H100" s="6" t="n"/>
      <c r="I100" s="6" t="n"/>
      <c r="J100" s="6" t="n"/>
      <c r="K100">
        <f>IF(OR(C100="",J100=""),"",NETWORKDAYS(C100,J100,Fériés!$A$2:$A$40)-1)</f>
        <v/>
      </c>
      <c r="L100">
        <f>IF(J100="","",IF(H100&lt;&gt;"",IF(J100&lt;=H100,"Oui","NON"),IF(K100&lt;=6,"Oui","NON")))</f>
        <v/>
      </c>
      <c r="M100" s="4" t="n"/>
      <c r="N100" s="4" t="n"/>
      <c r="O100" s="4" t="n"/>
      <c r="P100" s="4" t="n"/>
    </row>
    <row r="101">
      <c r="A101" s="4" t="n"/>
      <c r="B101" s="4" t="n"/>
      <c r="C101" s="6" t="n"/>
      <c r="D101" s="4" t="n"/>
      <c r="E101" s="4" t="n"/>
      <c r="F101" s="4" t="n"/>
      <c r="G101" s="6" t="n"/>
      <c r="H101" s="6" t="n"/>
      <c r="I101" s="6" t="n"/>
      <c r="J101" s="6" t="n"/>
      <c r="K101">
        <f>IF(OR(C101="",J101=""),"",NETWORKDAYS(C101,J101,Fériés!$A$2:$A$40)-1)</f>
        <v/>
      </c>
      <c r="L101">
        <f>IF(J101="","",IF(H101&lt;&gt;"",IF(J101&lt;=H101,"Oui","NON"),IF(K101&lt;=6,"Oui","NON")))</f>
        <v/>
      </c>
      <c r="M101" s="4" t="n"/>
      <c r="N101" s="4" t="n"/>
      <c r="O101" s="4" t="n"/>
      <c r="P101" s="4" t="n"/>
    </row>
    <row r="102">
      <c r="A102" s="4" t="n"/>
      <c r="B102" s="4" t="n"/>
      <c r="C102" s="6" t="n"/>
      <c r="D102" s="4" t="n"/>
      <c r="E102" s="4" t="n"/>
      <c r="F102" s="4" t="n"/>
      <c r="G102" s="6" t="n"/>
      <c r="H102" s="6" t="n"/>
      <c r="I102" s="6" t="n"/>
      <c r="J102" s="6" t="n"/>
      <c r="K102">
        <f>IF(OR(C102="",J102=""),"",NETWORKDAYS(C102,J102,Fériés!$A$2:$A$40)-1)</f>
        <v/>
      </c>
      <c r="L102">
        <f>IF(J102="","",IF(H102&lt;&gt;"",IF(J102&lt;=H102,"Oui","NON"),IF(K102&lt;=6,"Oui","NON")))</f>
        <v/>
      </c>
      <c r="M102" s="4" t="n"/>
      <c r="N102" s="4" t="n"/>
      <c r="O102" s="4" t="n"/>
      <c r="P102" s="4" t="n"/>
    </row>
    <row r="103">
      <c r="A103" s="4" t="n"/>
      <c r="B103" s="4" t="n"/>
      <c r="C103" s="6" t="n"/>
      <c r="D103" s="4" t="n"/>
      <c r="E103" s="4" t="n"/>
      <c r="F103" s="4" t="n"/>
      <c r="G103" s="6" t="n"/>
      <c r="H103" s="6" t="n"/>
      <c r="I103" s="6" t="n"/>
      <c r="J103" s="6" t="n"/>
      <c r="K103">
        <f>IF(OR(C103="",J103=""),"",NETWORKDAYS(C103,J103,Fériés!$A$2:$A$40)-1)</f>
        <v/>
      </c>
      <c r="L103">
        <f>IF(J103="","",IF(H103&lt;&gt;"",IF(J103&lt;=H103,"Oui","NON"),IF(K103&lt;=6,"Oui","NON")))</f>
        <v/>
      </c>
      <c r="M103" s="4" t="n"/>
      <c r="N103" s="4" t="n"/>
      <c r="O103" s="4" t="n"/>
      <c r="P103" s="4" t="n"/>
    </row>
    <row r="104">
      <c r="A104" s="4" t="n"/>
      <c r="B104" s="4" t="n"/>
      <c r="C104" s="6" t="n"/>
      <c r="D104" s="4" t="n"/>
      <c r="E104" s="4" t="n"/>
      <c r="F104" s="4" t="n"/>
      <c r="G104" s="6" t="n"/>
      <c r="H104" s="6" t="n"/>
      <c r="I104" s="6" t="n"/>
      <c r="J104" s="6" t="n"/>
      <c r="K104">
        <f>IF(OR(C104="",J104=""),"",NETWORKDAYS(C104,J104,Fériés!$A$2:$A$40)-1)</f>
        <v/>
      </c>
      <c r="L104">
        <f>IF(J104="","",IF(H104&lt;&gt;"",IF(J104&lt;=H104,"Oui","NON"),IF(K104&lt;=6,"Oui","NON")))</f>
        <v/>
      </c>
      <c r="M104" s="4" t="n"/>
      <c r="N104" s="4" t="n"/>
      <c r="O104" s="4" t="n"/>
      <c r="P104" s="4" t="n"/>
    </row>
    <row r="105">
      <c r="A105" s="4" t="n"/>
      <c r="B105" s="4" t="n"/>
      <c r="C105" s="6" t="n"/>
      <c r="D105" s="4" t="n"/>
      <c r="E105" s="4" t="n"/>
      <c r="F105" s="4" t="n"/>
      <c r="G105" s="6" t="n"/>
      <c r="H105" s="6" t="n"/>
      <c r="I105" s="6" t="n"/>
      <c r="J105" s="6" t="n"/>
      <c r="K105">
        <f>IF(OR(C105="",J105=""),"",NETWORKDAYS(C105,J105,Fériés!$A$2:$A$40)-1)</f>
        <v/>
      </c>
      <c r="L105">
        <f>IF(J105="","",IF(H105&lt;&gt;"",IF(J105&lt;=H105,"Oui","NON"),IF(K105&lt;=6,"Oui","NON")))</f>
        <v/>
      </c>
      <c r="M105" s="4" t="n"/>
      <c r="N105" s="4" t="n"/>
      <c r="O105" s="4" t="n"/>
      <c r="P105" s="4" t="n"/>
    </row>
    <row r="106">
      <c r="A106" s="4" t="n"/>
      <c r="B106" s="4" t="n"/>
      <c r="C106" s="6" t="n"/>
      <c r="D106" s="4" t="n"/>
      <c r="E106" s="4" t="n"/>
      <c r="F106" s="4" t="n"/>
      <c r="G106" s="6" t="n"/>
      <c r="H106" s="6" t="n"/>
      <c r="I106" s="6" t="n"/>
      <c r="J106" s="6" t="n"/>
      <c r="K106">
        <f>IF(OR(C106="",J106=""),"",NETWORKDAYS(C106,J106,Fériés!$A$2:$A$40)-1)</f>
        <v/>
      </c>
      <c r="L106">
        <f>IF(J106="","",IF(H106&lt;&gt;"",IF(J106&lt;=H106,"Oui","NON"),IF(K106&lt;=6,"Oui","NON")))</f>
        <v/>
      </c>
      <c r="M106" s="4" t="n"/>
      <c r="N106" s="4" t="n"/>
      <c r="O106" s="4" t="n"/>
      <c r="P106" s="4" t="n"/>
    </row>
    <row r="107">
      <c r="A107" s="4" t="n"/>
      <c r="B107" s="4" t="n"/>
      <c r="C107" s="6" t="n"/>
      <c r="D107" s="4" t="n"/>
      <c r="E107" s="4" t="n"/>
      <c r="F107" s="4" t="n"/>
      <c r="G107" s="6" t="n"/>
      <c r="H107" s="6" t="n"/>
      <c r="I107" s="6" t="n"/>
      <c r="J107" s="6" t="n"/>
      <c r="K107">
        <f>IF(OR(C107="",J107=""),"",NETWORKDAYS(C107,J107,Fériés!$A$2:$A$40)-1)</f>
        <v/>
      </c>
      <c r="L107">
        <f>IF(J107="","",IF(H107&lt;&gt;"",IF(J107&lt;=H107,"Oui","NON"),IF(K107&lt;=6,"Oui","NON")))</f>
        <v/>
      </c>
      <c r="M107" s="4" t="n"/>
      <c r="N107" s="4" t="n"/>
      <c r="O107" s="4" t="n"/>
      <c r="P107" s="4" t="n"/>
    </row>
    <row r="108">
      <c r="A108" s="4" t="n"/>
      <c r="B108" s="4" t="n"/>
      <c r="C108" s="6" t="n"/>
      <c r="D108" s="4" t="n"/>
      <c r="E108" s="4" t="n"/>
      <c r="F108" s="4" t="n"/>
      <c r="G108" s="6" t="n"/>
      <c r="H108" s="6" t="n"/>
      <c r="I108" s="6" t="n"/>
      <c r="J108" s="6" t="n"/>
      <c r="K108">
        <f>IF(OR(C108="",J108=""),"",NETWORKDAYS(C108,J108,Fériés!$A$2:$A$40)-1)</f>
        <v/>
      </c>
      <c r="L108">
        <f>IF(J108="","",IF(H108&lt;&gt;"",IF(J108&lt;=H108,"Oui","NON"),IF(K108&lt;=6,"Oui","NON")))</f>
        <v/>
      </c>
      <c r="M108" s="4" t="n"/>
      <c r="N108" s="4" t="n"/>
      <c r="O108" s="4" t="n"/>
      <c r="P108" s="4" t="n"/>
    </row>
    <row r="109">
      <c r="A109" s="4" t="n"/>
      <c r="B109" s="4" t="n"/>
      <c r="C109" s="6" t="n"/>
      <c r="D109" s="4" t="n"/>
      <c r="E109" s="4" t="n"/>
      <c r="F109" s="4" t="n"/>
      <c r="G109" s="6" t="n"/>
      <c r="H109" s="6" t="n"/>
      <c r="I109" s="6" t="n"/>
      <c r="J109" s="6" t="n"/>
      <c r="K109">
        <f>IF(OR(C109="",J109=""),"",NETWORKDAYS(C109,J109,Fériés!$A$2:$A$40)-1)</f>
        <v/>
      </c>
      <c r="L109">
        <f>IF(J109="","",IF(H109&lt;&gt;"",IF(J109&lt;=H109,"Oui","NON"),IF(K109&lt;=6,"Oui","NON")))</f>
        <v/>
      </c>
      <c r="M109" s="4" t="n"/>
      <c r="N109" s="4" t="n"/>
      <c r="O109" s="4" t="n"/>
      <c r="P109" s="4" t="n"/>
    </row>
    <row r="110">
      <c r="A110" s="4" t="n"/>
      <c r="B110" s="4" t="n"/>
      <c r="C110" s="6" t="n"/>
      <c r="D110" s="4" t="n"/>
      <c r="E110" s="4" t="n"/>
      <c r="F110" s="4" t="n"/>
      <c r="G110" s="6" t="n"/>
      <c r="H110" s="6" t="n"/>
      <c r="I110" s="6" t="n"/>
      <c r="J110" s="6" t="n"/>
      <c r="K110">
        <f>IF(OR(C110="",J110=""),"",NETWORKDAYS(C110,J110,Fériés!$A$2:$A$40)-1)</f>
        <v/>
      </c>
      <c r="L110">
        <f>IF(J110="","",IF(H110&lt;&gt;"",IF(J110&lt;=H110,"Oui","NON"),IF(K110&lt;=6,"Oui","NON")))</f>
        <v/>
      </c>
      <c r="M110" s="4" t="n"/>
      <c r="N110" s="4" t="n"/>
      <c r="O110" s="4" t="n"/>
      <c r="P110" s="4" t="n"/>
    </row>
    <row r="111">
      <c r="A111" s="4" t="n"/>
      <c r="B111" s="4" t="n"/>
      <c r="C111" s="6" t="n"/>
      <c r="D111" s="4" t="n"/>
      <c r="E111" s="4" t="n"/>
      <c r="F111" s="4" t="n"/>
      <c r="G111" s="6" t="n"/>
      <c r="H111" s="6" t="n"/>
      <c r="I111" s="6" t="n"/>
      <c r="J111" s="6" t="n"/>
      <c r="K111">
        <f>IF(OR(C111="",J111=""),"",NETWORKDAYS(C111,J111,Fériés!$A$2:$A$40)-1)</f>
        <v/>
      </c>
      <c r="L111">
        <f>IF(J111="","",IF(H111&lt;&gt;"",IF(J111&lt;=H111,"Oui","NON"),IF(K111&lt;=6,"Oui","NON")))</f>
        <v/>
      </c>
      <c r="M111" s="4" t="n"/>
      <c r="N111" s="4" t="n"/>
      <c r="O111" s="4" t="n"/>
      <c r="P111" s="4" t="n"/>
    </row>
    <row r="112">
      <c r="A112" s="4" t="n"/>
      <c r="B112" s="4" t="n"/>
      <c r="C112" s="6" t="n"/>
      <c r="D112" s="4" t="n"/>
      <c r="E112" s="4" t="n"/>
      <c r="F112" s="4" t="n"/>
      <c r="G112" s="6" t="n"/>
      <c r="H112" s="6" t="n"/>
      <c r="I112" s="6" t="n"/>
      <c r="J112" s="6" t="n"/>
      <c r="K112">
        <f>IF(OR(C112="",J112=""),"",NETWORKDAYS(C112,J112,Fériés!$A$2:$A$40)-1)</f>
        <v/>
      </c>
      <c r="L112">
        <f>IF(J112="","",IF(H112&lt;&gt;"",IF(J112&lt;=H112,"Oui","NON"),IF(K112&lt;=6,"Oui","NON")))</f>
        <v/>
      </c>
      <c r="M112" s="4" t="n"/>
      <c r="N112" s="4" t="n"/>
      <c r="O112" s="4" t="n"/>
      <c r="P112" s="4" t="n"/>
    </row>
    <row r="113">
      <c r="A113" s="4" t="n"/>
      <c r="B113" s="4" t="n"/>
      <c r="C113" s="6" t="n"/>
      <c r="D113" s="4" t="n"/>
      <c r="E113" s="4" t="n"/>
      <c r="F113" s="4" t="n"/>
      <c r="G113" s="6" t="n"/>
      <c r="H113" s="6" t="n"/>
      <c r="I113" s="6" t="n"/>
      <c r="J113" s="6" t="n"/>
      <c r="K113">
        <f>IF(OR(C113="",J113=""),"",NETWORKDAYS(C113,J113,Fériés!$A$2:$A$40)-1)</f>
        <v/>
      </c>
      <c r="L113">
        <f>IF(J113="","",IF(H113&lt;&gt;"",IF(J113&lt;=H113,"Oui","NON"),IF(K113&lt;=6,"Oui","NON")))</f>
        <v/>
      </c>
      <c r="M113" s="4" t="n"/>
      <c r="N113" s="4" t="n"/>
      <c r="O113" s="4" t="n"/>
      <c r="P113" s="4" t="n"/>
    </row>
    <row r="114">
      <c r="A114" s="4" t="n"/>
      <c r="B114" s="4" t="n"/>
      <c r="C114" s="6" t="n"/>
      <c r="D114" s="4" t="n"/>
      <c r="E114" s="4" t="n"/>
      <c r="F114" s="4" t="n"/>
      <c r="G114" s="6" t="n"/>
      <c r="H114" s="6" t="n"/>
      <c r="I114" s="6" t="n"/>
      <c r="J114" s="6" t="n"/>
      <c r="K114">
        <f>IF(OR(C114="",J114=""),"",NETWORKDAYS(C114,J114,Fériés!$A$2:$A$40)-1)</f>
        <v/>
      </c>
      <c r="L114">
        <f>IF(J114="","",IF(H114&lt;&gt;"",IF(J114&lt;=H114,"Oui","NON"),IF(K114&lt;=6,"Oui","NON")))</f>
        <v/>
      </c>
      <c r="M114" s="4" t="n"/>
      <c r="N114" s="4" t="n"/>
      <c r="O114" s="4" t="n"/>
      <c r="P114" s="4" t="n"/>
    </row>
    <row r="115">
      <c r="A115" s="4" t="n"/>
      <c r="B115" s="4" t="n"/>
      <c r="C115" s="6" t="n"/>
      <c r="D115" s="4" t="n"/>
      <c r="E115" s="4" t="n"/>
      <c r="F115" s="4" t="n"/>
      <c r="G115" s="6" t="n"/>
      <c r="H115" s="6" t="n"/>
      <c r="I115" s="6" t="n"/>
      <c r="J115" s="6" t="n"/>
      <c r="K115">
        <f>IF(OR(C115="",J115=""),"",NETWORKDAYS(C115,J115,Fériés!$A$2:$A$40)-1)</f>
        <v/>
      </c>
      <c r="L115">
        <f>IF(J115="","",IF(H115&lt;&gt;"",IF(J115&lt;=H115,"Oui","NON"),IF(K115&lt;=6,"Oui","NON")))</f>
        <v/>
      </c>
      <c r="M115" s="4" t="n"/>
      <c r="N115" s="4" t="n"/>
      <c r="O115" s="4" t="n"/>
      <c r="P115" s="4" t="n"/>
    </row>
    <row r="116">
      <c r="A116" s="4" t="n"/>
      <c r="B116" s="4" t="n"/>
      <c r="C116" s="6" t="n"/>
      <c r="D116" s="4" t="n"/>
      <c r="E116" s="4" t="n"/>
      <c r="F116" s="4" t="n"/>
      <c r="G116" s="6" t="n"/>
      <c r="H116" s="6" t="n"/>
      <c r="I116" s="6" t="n"/>
      <c r="J116" s="6" t="n"/>
      <c r="K116">
        <f>IF(OR(C116="",J116=""),"",NETWORKDAYS(C116,J116,Fériés!$A$2:$A$40)-1)</f>
        <v/>
      </c>
      <c r="L116">
        <f>IF(J116="","",IF(H116&lt;&gt;"",IF(J116&lt;=H116,"Oui","NON"),IF(K116&lt;=6,"Oui","NON")))</f>
        <v/>
      </c>
      <c r="M116" s="4" t="n"/>
      <c r="N116" s="4" t="n"/>
      <c r="O116" s="4" t="n"/>
      <c r="P116" s="4" t="n"/>
    </row>
    <row r="117">
      <c r="A117" s="4" t="n"/>
      <c r="B117" s="4" t="n"/>
      <c r="C117" s="6" t="n"/>
      <c r="D117" s="4" t="n"/>
      <c r="E117" s="4" t="n"/>
      <c r="F117" s="4" t="n"/>
      <c r="G117" s="6" t="n"/>
      <c r="H117" s="6" t="n"/>
      <c r="I117" s="6" t="n"/>
      <c r="J117" s="6" t="n"/>
      <c r="K117">
        <f>IF(OR(C117="",J117=""),"",NETWORKDAYS(C117,J117,Fériés!$A$2:$A$40)-1)</f>
        <v/>
      </c>
      <c r="L117">
        <f>IF(J117="","",IF(H117&lt;&gt;"",IF(J117&lt;=H117,"Oui","NON"),IF(K117&lt;=6,"Oui","NON")))</f>
        <v/>
      </c>
      <c r="M117" s="4" t="n"/>
      <c r="N117" s="4" t="n"/>
      <c r="O117" s="4" t="n"/>
      <c r="P117" s="4" t="n"/>
    </row>
    <row r="118">
      <c r="A118" s="4" t="n"/>
      <c r="B118" s="4" t="n"/>
      <c r="C118" s="6" t="n"/>
      <c r="D118" s="4" t="n"/>
      <c r="E118" s="4" t="n"/>
      <c r="F118" s="4" t="n"/>
      <c r="G118" s="6" t="n"/>
      <c r="H118" s="6" t="n"/>
      <c r="I118" s="6" t="n"/>
      <c r="J118" s="6" t="n"/>
      <c r="K118">
        <f>IF(OR(C118="",J118=""),"",NETWORKDAYS(C118,J118,Fériés!$A$2:$A$40)-1)</f>
        <v/>
      </c>
      <c r="L118">
        <f>IF(J118="","",IF(H118&lt;&gt;"",IF(J118&lt;=H118,"Oui","NON"),IF(K118&lt;=6,"Oui","NON")))</f>
        <v/>
      </c>
      <c r="M118" s="4" t="n"/>
      <c r="N118" s="4" t="n"/>
      <c r="O118" s="4" t="n"/>
      <c r="P118" s="4" t="n"/>
    </row>
    <row r="119">
      <c r="A119" s="4" t="n"/>
      <c r="B119" s="4" t="n"/>
      <c r="C119" s="6" t="n"/>
      <c r="D119" s="4" t="n"/>
      <c r="E119" s="4" t="n"/>
      <c r="F119" s="4" t="n"/>
      <c r="G119" s="6" t="n"/>
      <c r="H119" s="6" t="n"/>
      <c r="I119" s="6" t="n"/>
      <c r="J119" s="6" t="n"/>
      <c r="K119">
        <f>IF(OR(C119="",J119=""),"",NETWORKDAYS(C119,J119,Fériés!$A$2:$A$40)-1)</f>
        <v/>
      </c>
      <c r="L119">
        <f>IF(J119="","",IF(H119&lt;&gt;"",IF(J119&lt;=H119,"Oui","NON"),IF(K119&lt;=6,"Oui","NON")))</f>
        <v/>
      </c>
      <c r="M119" s="4" t="n"/>
      <c r="N119" s="4" t="n"/>
      <c r="O119" s="4" t="n"/>
      <c r="P119" s="4" t="n"/>
    </row>
    <row r="120">
      <c r="A120" s="4" t="n"/>
      <c r="B120" s="4" t="n"/>
      <c r="C120" s="6" t="n"/>
      <c r="D120" s="4" t="n"/>
      <c r="E120" s="4" t="n"/>
      <c r="F120" s="4" t="n"/>
      <c r="G120" s="6" t="n"/>
      <c r="H120" s="6" t="n"/>
      <c r="I120" s="6" t="n"/>
      <c r="J120" s="6" t="n"/>
      <c r="K120">
        <f>IF(OR(C120="",J120=""),"",NETWORKDAYS(C120,J120,Fériés!$A$2:$A$40)-1)</f>
        <v/>
      </c>
      <c r="L120">
        <f>IF(J120="","",IF(H120&lt;&gt;"",IF(J120&lt;=H120,"Oui","NON"),IF(K120&lt;=6,"Oui","NON")))</f>
        <v/>
      </c>
      <c r="M120" s="4" t="n"/>
      <c r="N120" s="4" t="n"/>
      <c r="O120" s="4" t="n"/>
      <c r="P120" s="4" t="n"/>
    </row>
    <row r="121">
      <c r="A121" s="4" t="n"/>
      <c r="B121" s="4" t="n"/>
      <c r="C121" s="6" t="n"/>
      <c r="D121" s="4" t="n"/>
      <c r="E121" s="4" t="n"/>
      <c r="F121" s="4" t="n"/>
      <c r="G121" s="6" t="n"/>
      <c r="H121" s="6" t="n"/>
      <c r="I121" s="6" t="n"/>
      <c r="J121" s="6" t="n"/>
      <c r="K121">
        <f>IF(OR(C121="",J121=""),"",NETWORKDAYS(C121,J121,Fériés!$A$2:$A$40)-1)</f>
        <v/>
      </c>
      <c r="L121">
        <f>IF(J121="","",IF(H121&lt;&gt;"",IF(J121&lt;=H121,"Oui","NON"),IF(K121&lt;=6,"Oui","NON")))</f>
        <v/>
      </c>
      <c r="M121" s="4" t="n"/>
      <c r="N121" s="4" t="n"/>
      <c r="O121" s="4" t="n"/>
      <c r="P121" s="4" t="n"/>
    </row>
    <row r="122">
      <c r="A122" s="4" t="n"/>
      <c r="B122" s="4" t="n"/>
      <c r="C122" s="6" t="n"/>
      <c r="D122" s="4" t="n"/>
      <c r="E122" s="4" t="n"/>
      <c r="F122" s="4" t="n"/>
      <c r="G122" s="6" t="n"/>
      <c r="H122" s="6" t="n"/>
      <c r="I122" s="6" t="n"/>
      <c r="J122" s="6" t="n"/>
      <c r="K122">
        <f>IF(OR(C122="",J122=""),"",NETWORKDAYS(C122,J122,Fériés!$A$2:$A$40)-1)</f>
        <v/>
      </c>
      <c r="L122">
        <f>IF(J122="","",IF(H122&lt;&gt;"",IF(J122&lt;=H122,"Oui","NON"),IF(K122&lt;=6,"Oui","NON")))</f>
        <v/>
      </c>
      <c r="M122" s="4" t="n"/>
      <c r="N122" s="4" t="n"/>
      <c r="O122" s="4" t="n"/>
      <c r="P122" s="4" t="n"/>
    </row>
    <row r="123">
      <c r="A123" s="4" t="n"/>
      <c r="B123" s="4" t="n"/>
      <c r="C123" s="6" t="n"/>
      <c r="D123" s="4" t="n"/>
      <c r="E123" s="4" t="n"/>
      <c r="F123" s="4" t="n"/>
      <c r="G123" s="6" t="n"/>
      <c r="H123" s="6" t="n"/>
      <c r="I123" s="6" t="n"/>
      <c r="J123" s="6" t="n"/>
      <c r="K123">
        <f>IF(OR(C123="",J123=""),"",NETWORKDAYS(C123,J123,Fériés!$A$2:$A$40)-1)</f>
        <v/>
      </c>
      <c r="L123">
        <f>IF(J123="","",IF(H123&lt;&gt;"",IF(J123&lt;=H123,"Oui","NON"),IF(K123&lt;=6,"Oui","NON")))</f>
        <v/>
      </c>
      <c r="M123" s="4" t="n"/>
      <c r="N123" s="4" t="n"/>
      <c r="O123" s="4" t="n"/>
      <c r="P123" s="4" t="n"/>
    </row>
    <row r="124">
      <c r="A124" s="4" t="n"/>
      <c r="B124" s="4" t="n"/>
      <c r="C124" s="6" t="n"/>
      <c r="D124" s="4" t="n"/>
      <c r="E124" s="4" t="n"/>
      <c r="F124" s="4" t="n"/>
      <c r="G124" s="6" t="n"/>
      <c r="H124" s="6" t="n"/>
      <c r="I124" s="6" t="n"/>
      <c r="J124" s="6" t="n"/>
      <c r="K124">
        <f>IF(OR(C124="",J124=""),"",NETWORKDAYS(C124,J124,Fériés!$A$2:$A$40)-1)</f>
        <v/>
      </c>
      <c r="L124">
        <f>IF(J124="","",IF(H124&lt;&gt;"",IF(J124&lt;=H124,"Oui","NON"),IF(K124&lt;=6,"Oui","NON")))</f>
        <v/>
      </c>
      <c r="M124" s="4" t="n"/>
      <c r="N124" s="4" t="n"/>
      <c r="O124" s="4" t="n"/>
      <c r="P124" s="4" t="n"/>
    </row>
    <row r="125">
      <c r="A125" s="4" t="n"/>
      <c r="B125" s="4" t="n"/>
      <c r="C125" s="6" t="n"/>
      <c r="D125" s="4" t="n"/>
      <c r="E125" s="4" t="n"/>
      <c r="F125" s="4" t="n"/>
      <c r="G125" s="6" t="n"/>
      <c r="H125" s="6" t="n"/>
      <c r="I125" s="6" t="n"/>
      <c r="J125" s="6" t="n"/>
      <c r="K125">
        <f>IF(OR(C125="",J125=""),"",NETWORKDAYS(C125,J125,Fériés!$A$2:$A$40)-1)</f>
        <v/>
      </c>
      <c r="L125">
        <f>IF(J125="","",IF(H125&lt;&gt;"",IF(J125&lt;=H125,"Oui","NON"),IF(K125&lt;=6,"Oui","NON")))</f>
        <v/>
      </c>
      <c r="M125" s="4" t="n"/>
      <c r="N125" s="4" t="n"/>
      <c r="O125" s="4" t="n"/>
      <c r="P125" s="4" t="n"/>
    </row>
    <row r="126">
      <c r="A126" s="4" t="n"/>
      <c r="B126" s="4" t="n"/>
      <c r="C126" s="6" t="n"/>
      <c r="D126" s="4" t="n"/>
      <c r="E126" s="4" t="n"/>
      <c r="F126" s="4" t="n"/>
      <c r="G126" s="6" t="n"/>
      <c r="H126" s="6" t="n"/>
      <c r="I126" s="6" t="n"/>
      <c r="J126" s="6" t="n"/>
      <c r="K126">
        <f>IF(OR(C126="",J126=""),"",NETWORKDAYS(C126,J126,Fériés!$A$2:$A$40)-1)</f>
        <v/>
      </c>
      <c r="L126">
        <f>IF(J126="","",IF(H126&lt;&gt;"",IF(J126&lt;=H126,"Oui","NON"),IF(K126&lt;=6,"Oui","NON")))</f>
        <v/>
      </c>
      <c r="M126" s="4" t="n"/>
      <c r="N126" s="4" t="n"/>
      <c r="O126" s="4" t="n"/>
      <c r="P126" s="4" t="n"/>
    </row>
    <row r="127">
      <c r="A127" s="4" t="n"/>
      <c r="B127" s="4" t="n"/>
      <c r="C127" s="6" t="n"/>
      <c r="D127" s="4" t="n"/>
      <c r="E127" s="4" t="n"/>
      <c r="F127" s="4" t="n"/>
      <c r="G127" s="6" t="n"/>
      <c r="H127" s="6" t="n"/>
      <c r="I127" s="6" t="n"/>
      <c r="J127" s="6" t="n"/>
      <c r="K127">
        <f>IF(OR(C127="",J127=""),"",NETWORKDAYS(C127,J127,Fériés!$A$2:$A$40)-1)</f>
        <v/>
      </c>
      <c r="L127">
        <f>IF(J127="","",IF(H127&lt;&gt;"",IF(J127&lt;=H127,"Oui","NON"),IF(K127&lt;=6,"Oui","NON")))</f>
        <v/>
      </c>
      <c r="M127" s="4" t="n"/>
      <c r="N127" s="4" t="n"/>
      <c r="O127" s="4" t="n"/>
      <c r="P127" s="4" t="n"/>
    </row>
    <row r="128">
      <c r="A128" s="4" t="n"/>
      <c r="B128" s="4" t="n"/>
      <c r="C128" s="6" t="n"/>
      <c r="D128" s="4" t="n"/>
      <c r="E128" s="4" t="n"/>
      <c r="F128" s="4" t="n"/>
      <c r="G128" s="6" t="n"/>
      <c r="H128" s="6" t="n"/>
      <c r="I128" s="6" t="n"/>
      <c r="J128" s="6" t="n"/>
      <c r="K128">
        <f>IF(OR(C128="",J128=""),"",NETWORKDAYS(C128,J128,Fériés!$A$2:$A$40)-1)</f>
        <v/>
      </c>
      <c r="L128">
        <f>IF(J128="","",IF(H128&lt;&gt;"",IF(J128&lt;=H128,"Oui","NON"),IF(K128&lt;=6,"Oui","NON")))</f>
        <v/>
      </c>
      <c r="M128" s="4" t="n"/>
      <c r="N128" s="4" t="n"/>
      <c r="O128" s="4" t="n"/>
      <c r="P128" s="4" t="n"/>
    </row>
    <row r="129">
      <c r="A129" s="4" t="n"/>
      <c r="B129" s="4" t="n"/>
      <c r="C129" s="6" t="n"/>
      <c r="D129" s="4" t="n"/>
      <c r="E129" s="4" t="n"/>
      <c r="F129" s="4" t="n"/>
      <c r="G129" s="6" t="n"/>
      <c r="H129" s="6" t="n"/>
      <c r="I129" s="6" t="n"/>
      <c r="J129" s="6" t="n"/>
      <c r="K129">
        <f>IF(OR(C129="",J129=""),"",NETWORKDAYS(C129,J129,Fériés!$A$2:$A$40)-1)</f>
        <v/>
      </c>
      <c r="L129">
        <f>IF(J129="","",IF(H129&lt;&gt;"",IF(J129&lt;=H129,"Oui","NON"),IF(K129&lt;=6,"Oui","NON")))</f>
        <v/>
      </c>
      <c r="M129" s="4" t="n"/>
      <c r="N129" s="4" t="n"/>
      <c r="O129" s="4" t="n"/>
      <c r="P129" s="4" t="n"/>
    </row>
    <row r="130">
      <c r="A130" s="4" t="n"/>
      <c r="B130" s="4" t="n"/>
      <c r="C130" s="6" t="n"/>
      <c r="D130" s="4" t="n"/>
      <c r="E130" s="4" t="n"/>
      <c r="F130" s="4" t="n"/>
      <c r="G130" s="6" t="n"/>
      <c r="H130" s="6" t="n"/>
      <c r="I130" s="6" t="n"/>
      <c r="J130" s="6" t="n"/>
      <c r="K130">
        <f>IF(OR(C130="",J130=""),"",NETWORKDAYS(C130,J130,Fériés!$A$2:$A$40)-1)</f>
        <v/>
      </c>
      <c r="L130">
        <f>IF(J130="","",IF(H130&lt;&gt;"",IF(J130&lt;=H130,"Oui","NON"),IF(K130&lt;=6,"Oui","NON")))</f>
        <v/>
      </c>
      <c r="M130" s="4" t="n"/>
      <c r="N130" s="4" t="n"/>
      <c r="O130" s="4" t="n"/>
      <c r="P130" s="4" t="n"/>
    </row>
    <row r="131">
      <c r="A131" s="4" t="n"/>
      <c r="B131" s="4" t="n"/>
      <c r="C131" s="6" t="n"/>
      <c r="D131" s="4" t="n"/>
      <c r="E131" s="4" t="n"/>
      <c r="F131" s="4" t="n"/>
      <c r="G131" s="6" t="n"/>
      <c r="H131" s="6" t="n"/>
      <c r="I131" s="6" t="n"/>
      <c r="J131" s="6" t="n"/>
      <c r="K131">
        <f>IF(OR(C131="",J131=""),"",NETWORKDAYS(C131,J131,Fériés!$A$2:$A$40)-1)</f>
        <v/>
      </c>
      <c r="L131">
        <f>IF(J131="","",IF(H131&lt;&gt;"",IF(J131&lt;=H131,"Oui","NON"),IF(K131&lt;=6,"Oui","NON")))</f>
        <v/>
      </c>
      <c r="M131" s="4" t="n"/>
      <c r="N131" s="4" t="n"/>
      <c r="O131" s="4" t="n"/>
      <c r="P131" s="4" t="n"/>
    </row>
    <row r="132">
      <c r="A132" s="4" t="n"/>
      <c r="B132" s="4" t="n"/>
      <c r="C132" s="6" t="n"/>
      <c r="D132" s="4" t="n"/>
      <c r="E132" s="4" t="n"/>
      <c r="F132" s="4" t="n"/>
      <c r="G132" s="6" t="n"/>
      <c r="H132" s="6" t="n"/>
      <c r="I132" s="6" t="n"/>
      <c r="J132" s="6" t="n"/>
      <c r="K132">
        <f>IF(OR(C132="",J132=""),"",NETWORKDAYS(C132,J132,Fériés!$A$2:$A$40)-1)</f>
        <v/>
      </c>
      <c r="L132">
        <f>IF(J132="","",IF(H132&lt;&gt;"",IF(J132&lt;=H132,"Oui","NON"),IF(K132&lt;=6,"Oui","NON")))</f>
        <v/>
      </c>
      <c r="M132" s="4" t="n"/>
      <c r="N132" s="4" t="n"/>
      <c r="O132" s="4" t="n"/>
      <c r="P132" s="4" t="n"/>
    </row>
    <row r="133">
      <c r="A133" s="4" t="n"/>
      <c r="B133" s="4" t="n"/>
      <c r="C133" s="6" t="n"/>
      <c r="D133" s="4" t="n"/>
      <c r="E133" s="4" t="n"/>
      <c r="F133" s="4" t="n"/>
      <c r="G133" s="6" t="n"/>
      <c r="H133" s="6" t="n"/>
      <c r="I133" s="6" t="n"/>
      <c r="J133" s="6" t="n"/>
      <c r="K133">
        <f>IF(OR(C133="",J133=""),"",NETWORKDAYS(C133,J133,Fériés!$A$2:$A$40)-1)</f>
        <v/>
      </c>
      <c r="L133">
        <f>IF(J133="","",IF(H133&lt;&gt;"",IF(J133&lt;=H133,"Oui","NON"),IF(K133&lt;=6,"Oui","NON")))</f>
        <v/>
      </c>
      <c r="M133" s="4" t="n"/>
      <c r="N133" s="4" t="n"/>
      <c r="O133" s="4" t="n"/>
      <c r="P133" s="4" t="n"/>
    </row>
    <row r="134">
      <c r="A134" s="4" t="n"/>
      <c r="B134" s="4" t="n"/>
      <c r="C134" s="6" t="n"/>
      <c r="D134" s="4" t="n"/>
      <c r="E134" s="4" t="n"/>
      <c r="F134" s="4" t="n"/>
      <c r="G134" s="6" t="n"/>
      <c r="H134" s="6" t="n"/>
      <c r="I134" s="6" t="n"/>
      <c r="J134" s="6" t="n"/>
      <c r="K134">
        <f>IF(OR(C134="",J134=""),"",NETWORKDAYS(C134,J134,Fériés!$A$2:$A$40)-1)</f>
        <v/>
      </c>
      <c r="L134">
        <f>IF(J134="","",IF(H134&lt;&gt;"",IF(J134&lt;=H134,"Oui","NON"),IF(K134&lt;=6,"Oui","NON")))</f>
        <v/>
      </c>
      <c r="M134" s="4" t="n"/>
      <c r="N134" s="4" t="n"/>
      <c r="O134" s="4" t="n"/>
      <c r="P134" s="4" t="n"/>
    </row>
    <row r="135">
      <c r="A135" s="4" t="n"/>
      <c r="B135" s="4" t="n"/>
      <c r="C135" s="6" t="n"/>
      <c r="D135" s="4" t="n"/>
      <c r="E135" s="4" t="n"/>
      <c r="F135" s="4" t="n"/>
      <c r="G135" s="6" t="n"/>
      <c r="H135" s="6" t="n"/>
      <c r="I135" s="6" t="n"/>
      <c r="J135" s="6" t="n"/>
      <c r="K135">
        <f>IF(OR(C135="",J135=""),"",NETWORKDAYS(C135,J135,Fériés!$A$2:$A$40)-1)</f>
        <v/>
      </c>
      <c r="L135">
        <f>IF(J135="","",IF(H135&lt;&gt;"",IF(J135&lt;=H135,"Oui","NON"),IF(K135&lt;=6,"Oui","NON")))</f>
        <v/>
      </c>
      <c r="M135" s="4" t="n"/>
      <c r="N135" s="4" t="n"/>
      <c r="O135" s="4" t="n"/>
      <c r="P135" s="4" t="n"/>
    </row>
    <row r="136">
      <c r="A136" s="4" t="n"/>
      <c r="B136" s="4" t="n"/>
      <c r="C136" s="6" t="n"/>
      <c r="D136" s="4" t="n"/>
      <c r="E136" s="4" t="n"/>
      <c r="F136" s="4" t="n"/>
      <c r="G136" s="6" t="n"/>
      <c r="H136" s="6" t="n"/>
      <c r="I136" s="6" t="n"/>
      <c r="J136" s="6" t="n"/>
      <c r="K136">
        <f>IF(OR(C136="",J136=""),"",NETWORKDAYS(C136,J136,Fériés!$A$2:$A$40)-1)</f>
        <v/>
      </c>
      <c r="L136">
        <f>IF(J136="","",IF(H136&lt;&gt;"",IF(J136&lt;=H136,"Oui","NON"),IF(K136&lt;=6,"Oui","NON")))</f>
        <v/>
      </c>
      <c r="M136" s="4" t="n"/>
      <c r="N136" s="4" t="n"/>
      <c r="O136" s="4" t="n"/>
      <c r="P136" s="4" t="n"/>
    </row>
    <row r="137">
      <c r="A137" s="4" t="n"/>
      <c r="B137" s="4" t="n"/>
      <c r="C137" s="6" t="n"/>
      <c r="D137" s="4" t="n"/>
      <c r="E137" s="4" t="n"/>
      <c r="F137" s="4" t="n"/>
      <c r="G137" s="6" t="n"/>
      <c r="H137" s="6" t="n"/>
      <c r="I137" s="6" t="n"/>
      <c r="J137" s="6" t="n"/>
      <c r="K137">
        <f>IF(OR(C137="",J137=""),"",NETWORKDAYS(C137,J137,Fériés!$A$2:$A$40)-1)</f>
        <v/>
      </c>
      <c r="L137">
        <f>IF(J137="","",IF(H137&lt;&gt;"",IF(J137&lt;=H137,"Oui","NON"),IF(K137&lt;=6,"Oui","NON")))</f>
        <v/>
      </c>
      <c r="M137" s="4" t="n"/>
      <c r="N137" s="4" t="n"/>
      <c r="O137" s="4" t="n"/>
      <c r="P137" s="4" t="n"/>
    </row>
    <row r="138">
      <c r="A138" s="4" t="n"/>
      <c r="B138" s="4" t="n"/>
      <c r="C138" s="6" t="n"/>
      <c r="D138" s="4" t="n"/>
      <c r="E138" s="4" t="n"/>
      <c r="F138" s="4" t="n"/>
      <c r="G138" s="6" t="n"/>
      <c r="H138" s="6" t="n"/>
      <c r="I138" s="6" t="n"/>
      <c r="J138" s="6" t="n"/>
      <c r="K138">
        <f>IF(OR(C138="",J138=""),"",NETWORKDAYS(C138,J138,Fériés!$A$2:$A$40)-1)</f>
        <v/>
      </c>
      <c r="L138">
        <f>IF(J138="","",IF(H138&lt;&gt;"",IF(J138&lt;=H138,"Oui","NON"),IF(K138&lt;=6,"Oui","NON")))</f>
        <v/>
      </c>
      <c r="M138" s="4" t="n"/>
      <c r="N138" s="4" t="n"/>
      <c r="O138" s="4" t="n"/>
      <c r="P138" s="4" t="n"/>
    </row>
    <row r="139">
      <c r="A139" s="4" t="n"/>
      <c r="B139" s="4" t="n"/>
      <c r="C139" s="6" t="n"/>
      <c r="D139" s="4" t="n"/>
      <c r="E139" s="4" t="n"/>
      <c r="F139" s="4" t="n"/>
      <c r="G139" s="6" t="n"/>
      <c r="H139" s="6" t="n"/>
      <c r="I139" s="6" t="n"/>
      <c r="J139" s="6" t="n"/>
      <c r="K139">
        <f>IF(OR(C139="",J139=""),"",NETWORKDAYS(C139,J139,Fériés!$A$2:$A$40)-1)</f>
        <v/>
      </c>
      <c r="L139">
        <f>IF(J139="","",IF(H139&lt;&gt;"",IF(J139&lt;=H139,"Oui","NON"),IF(K139&lt;=6,"Oui","NON")))</f>
        <v/>
      </c>
      <c r="M139" s="4" t="n"/>
      <c r="N139" s="4" t="n"/>
      <c r="O139" s="4" t="n"/>
      <c r="P139" s="4" t="n"/>
    </row>
    <row r="140">
      <c r="A140" s="4" t="n"/>
      <c r="B140" s="4" t="n"/>
      <c r="C140" s="6" t="n"/>
      <c r="D140" s="4" t="n"/>
      <c r="E140" s="4" t="n"/>
      <c r="F140" s="4" t="n"/>
      <c r="G140" s="6" t="n"/>
      <c r="H140" s="6" t="n"/>
      <c r="I140" s="6" t="n"/>
      <c r="J140" s="6" t="n"/>
      <c r="K140">
        <f>IF(OR(C140="",J140=""),"",NETWORKDAYS(C140,J140,Fériés!$A$2:$A$40)-1)</f>
        <v/>
      </c>
      <c r="L140">
        <f>IF(J140="","",IF(H140&lt;&gt;"",IF(J140&lt;=H140,"Oui","NON"),IF(K140&lt;=6,"Oui","NON")))</f>
        <v/>
      </c>
      <c r="M140" s="4" t="n"/>
      <c r="N140" s="4" t="n"/>
      <c r="O140" s="4" t="n"/>
      <c r="P140" s="4" t="n"/>
    </row>
    <row r="141">
      <c r="A141" s="4" t="n"/>
      <c r="B141" s="4" t="n"/>
      <c r="C141" s="6" t="n"/>
      <c r="D141" s="4" t="n"/>
      <c r="E141" s="4" t="n"/>
      <c r="F141" s="4" t="n"/>
      <c r="G141" s="6" t="n"/>
      <c r="H141" s="6" t="n"/>
      <c r="I141" s="6" t="n"/>
      <c r="J141" s="6" t="n"/>
      <c r="K141">
        <f>IF(OR(C141="",J141=""),"",NETWORKDAYS(C141,J141,Fériés!$A$2:$A$40)-1)</f>
        <v/>
      </c>
      <c r="L141">
        <f>IF(J141="","",IF(H141&lt;&gt;"",IF(J141&lt;=H141,"Oui","NON"),IF(K141&lt;=6,"Oui","NON")))</f>
        <v/>
      </c>
      <c r="M141" s="4" t="n"/>
      <c r="N141" s="4" t="n"/>
      <c r="O141" s="4" t="n"/>
      <c r="P141" s="4" t="n"/>
    </row>
    <row r="142">
      <c r="A142" s="4" t="n"/>
      <c r="B142" s="4" t="n"/>
      <c r="C142" s="6" t="n"/>
      <c r="D142" s="4" t="n"/>
      <c r="E142" s="4" t="n"/>
      <c r="F142" s="4" t="n"/>
      <c r="G142" s="6" t="n"/>
      <c r="H142" s="6" t="n"/>
      <c r="I142" s="6" t="n"/>
      <c r="J142" s="6" t="n"/>
      <c r="K142">
        <f>IF(OR(C142="",J142=""),"",NETWORKDAYS(C142,J142,Fériés!$A$2:$A$40)-1)</f>
        <v/>
      </c>
      <c r="L142">
        <f>IF(J142="","",IF(H142&lt;&gt;"",IF(J142&lt;=H142,"Oui","NON"),IF(K142&lt;=6,"Oui","NON")))</f>
        <v/>
      </c>
      <c r="M142" s="4" t="n"/>
      <c r="N142" s="4" t="n"/>
      <c r="O142" s="4" t="n"/>
      <c r="P142" s="4" t="n"/>
    </row>
    <row r="143">
      <c r="A143" s="4" t="n"/>
      <c r="B143" s="4" t="n"/>
      <c r="C143" s="6" t="n"/>
      <c r="D143" s="4" t="n"/>
      <c r="E143" s="4" t="n"/>
      <c r="F143" s="4" t="n"/>
      <c r="G143" s="6" t="n"/>
      <c r="H143" s="6" t="n"/>
      <c r="I143" s="6" t="n"/>
      <c r="J143" s="6" t="n"/>
      <c r="K143">
        <f>IF(OR(C143="",J143=""),"",NETWORKDAYS(C143,J143,Fériés!$A$2:$A$40)-1)</f>
        <v/>
      </c>
      <c r="L143">
        <f>IF(J143="","",IF(H143&lt;&gt;"",IF(J143&lt;=H143,"Oui","NON"),IF(K143&lt;=6,"Oui","NON")))</f>
        <v/>
      </c>
      <c r="M143" s="4" t="n"/>
      <c r="N143" s="4" t="n"/>
      <c r="O143" s="4" t="n"/>
      <c r="P143" s="4" t="n"/>
    </row>
    <row r="144">
      <c r="A144" s="4" t="n"/>
      <c r="B144" s="4" t="n"/>
      <c r="C144" s="6" t="n"/>
      <c r="D144" s="4" t="n"/>
      <c r="E144" s="4" t="n"/>
      <c r="F144" s="4" t="n"/>
      <c r="G144" s="6" t="n"/>
      <c r="H144" s="6" t="n"/>
      <c r="I144" s="6" t="n"/>
      <c r="J144" s="6" t="n"/>
      <c r="K144">
        <f>IF(OR(C144="",J144=""),"",NETWORKDAYS(C144,J144,Fériés!$A$2:$A$40)-1)</f>
        <v/>
      </c>
      <c r="L144">
        <f>IF(J144="","",IF(H144&lt;&gt;"",IF(J144&lt;=H144,"Oui","NON"),IF(K144&lt;=6,"Oui","NON")))</f>
        <v/>
      </c>
      <c r="M144" s="4" t="n"/>
      <c r="N144" s="4" t="n"/>
      <c r="O144" s="4" t="n"/>
      <c r="P144" s="4" t="n"/>
    </row>
    <row r="145">
      <c r="A145" s="4" t="n"/>
      <c r="B145" s="4" t="n"/>
      <c r="C145" s="6" t="n"/>
      <c r="D145" s="4" t="n"/>
      <c r="E145" s="4" t="n"/>
      <c r="F145" s="4" t="n"/>
      <c r="G145" s="6" t="n"/>
      <c r="H145" s="6" t="n"/>
      <c r="I145" s="6" t="n"/>
      <c r="J145" s="6" t="n"/>
      <c r="K145">
        <f>IF(OR(C145="",J145=""),"",NETWORKDAYS(C145,J145,Fériés!$A$2:$A$40)-1)</f>
        <v/>
      </c>
      <c r="L145">
        <f>IF(J145="","",IF(H145&lt;&gt;"",IF(J145&lt;=H145,"Oui","NON"),IF(K145&lt;=6,"Oui","NON")))</f>
        <v/>
      </c>
      <c r="M145" s="4" t="n"/>
      <c r="N145" s="4" t="n"/>
      <c r="O145" s="4" t="n"/>
      <c r="P145" s="4" t="n"/>
    </row>
    <row r="146">
      <c r="A146" s="4" t="n"/>
      <c r="B146" s="4" t="n"/>
      <c r="C146" s="6" t="n"/>
      <c r="D146" s="4" t="n"/>
      <c r="E146" s="4" t="n"/>
      <c r="F146" s="4" t="n"/>
      <c r="G146" s="6" t="n"/>
      <c r="H146" s="6" t="n"/>
      <c r="I146" s="6" t="n"/>
      <c r="J146" s="6" t="n"/>
      <c r="K146">
        <f>IF(OR(C146="",J146=""),"",NETWORKDAYS(C146,J146,Fériés!$A$2:$A$40)-1)</f>
        <v/>
      </c>
      <c r="L146">
        <f>IF(J146="","",IF(H146&lt;&gt;"",IF(J146&lt;=H146,"Oui","NON"),IF(K146&lt;=6,"Oui","NON")))</f>
        <v/>
      </c>
      <c r="M146" s="4" t="n"/>
      <c r="N146" s="4" t="n"/>
      <c r="O146" s="4" t="n"/>
      <c r="P146" s="4" t="n"/>
    </row>
    <row r="147">
      <c r="A147" s="4" t="n"/>
      <c r="B147" s="4" t="n"/>
      <c r="C147" s="6" t="n"/>
      <c r="D147" s="4" t="n"/>
      <c r="E147" s="4" t="n"/>
      <c r="F147" s="4" t="n"/>
      <c r="G147" s="6" t="n"/>
      <c r="H147" s="6" t="n"/>
      <c r="I147" s="6" t="n"/>
      <c r="J147" s="6" t="n"/>
      <c r="K147">
        <f>IF(OR(C147="",J147=""),"",NETWORKDAYS(C147,J147,Fériés!$A$2:$A$40)-1)</f>
        <v/>
      </c>
      <c r="L147">
        <f>IF(J147="","",IF(H147&lt;&gt;"",IF(J147&lt;=H147,"Oui","NON"),IF(K147&lt;=6,"Oui","NON")))</f>
        <v/>
      </c>
      <c r="M147" s="4" t="n"/>
      <c r="N147" s="4" t="n"/>
      <c r="O147" s="4" t="n"/>
      <c r="P147" s="4" t="n"/>
    </row>
    <row r="148">
      <c r="A148" s="4" t="n"/>
      <c r="B148" s="4" t="n"/>
      <c r="C148" s="6" t="n"/>
      <c r="D148" s="4" t="n"/>
      <c r="E148" s="4" t="n"/>
      <c r="F148" s="4" t="n"/>
      <c r="G148" s="6" t="n"/>
      <c r="H148" s="6" t="n"/>
      <c r="I148" s="6" t="n"/>
      <c r="J148" s="6" t="n"/>
      <c r="K148">
        <f>IF(OR(C148="",J148=""),"",NETWORKDAYS(C148,J148,Fériés!$A$2:$A$40)-1)</f>
        <v/>
      </c>
      <c r="L148">
        <f>IF(J148="","",IF(H148&lt;&gt;"",IF(J148&lt;=H148,"Oui","NON"),IF(K148&lt;=6,"Oui","NON")))</f>
        <v/>
      </c>
      <c r="M148" s="4" t="n"/>
      <c r="N148" s="4" t="n"/>
      <c r="O148" s="4" t="n"/>
      <c r="P148" s="4" t="n"/>
    </row>
    <row r="149">
      <c r="A149" s="4" t="n"/>
      <c r="B149" s="4" t="n"/>
      <c r="C149" s="6" t="n"/>
      <c r="D149" s="4" t="n"/>
      <c r="E149" s="4" t="n"/>
      <c r="F149" s="4" t="n"/>
      <c r="G149" s="6" t="n"/>
      <c r="H149" s="6" t="n"/>
      <c r="I149" s="6" t="n"/>
      <c r="J149" s="6" t="n"/>
      <c r="K149">
        <f>IF(OR(C149="",J149=""),"",NETWORKDAYS(C149,J149,Fériés!$A$2:$A$40)-1)</f>
        <v/>
      </c>
      <c r="L149">
        <f>IF(J149="","",IF(H149&lt;&gt;"",IF(J149&lt;=H149,"Oui","NON"),IF(K149&lt;=6,"Oui","NON")))</f>
        <v/>
      </c>
      <c r="M149" s="4" t="n"/>
      <c r="N149" s="4" t="n"/>
      <c r="O149" s="4" t="n"/>
      <c r="P149" s="4" t="n"/>
    </row>
    <row r="150">
      <c r="A150" s="4" t="n"/>
      <c r="B150" s="4" t="n"/>
      <c r="C150" s="6" t="n"/>
      <c r="D150" s="4" t="n"/>
      <c r="E150" s="4" t="n"/>
      <c r="F150" s="4" t="n"/>
      <c r="G150" s="6" t="n"/>
      <c r="H150" s="6" t="n"/>
      <c r="I150" s="6" t="n"/>
      <c r="J150" s="6" t="n"/>
      <c r="K150">
        <f>IF(OR(C150="",J150=""),"",NETWORKDAYS(C150,J150,Fériés!$A$2:$A$40)-1)</f>
        <v/>
      </c>
      <c r="L150">
        <f>IF(J150="","",IF(H150&lt;&gt;"",IF(J150&lt;=H150,"Oui","NON"),IF(K150&lt;=6,"Oui","NON")))</f>
        <v/>
      </c>
      <c r="M150" s="4" t="n"/>
      <c r="N150" s="4" t="n"/>
      <c r="O150" s="4" t="n"/>
      <c r="P150" s="4" t="n"/>
    </row>
    <row r="151">
      <c r="A151" s="4" t="n"/>
      <c r="B151" s="4" t="n"/>
      <c r="C151" s="6" t="n"/>
      <c r="D151" s="4" t="n"/>
      <c r="E151" s="4" t="n"/>
      <c r="F151" s="4" t="n"/>
      <c r="G151" s="6" t="n"/>
      <c r="H151" s="6" t="n"/>
      <c r="I151" s="6" t="n"/>
      <c r="J151" s="6" t="n"/>
      <c r="K151">
        <f>IF(OR(C151="",J151=""),"",NETWORKDAYS(C151,J151,Fériés!$A$2:$A$40)-1)</f>
        <v/>
      </c>
      <c r="L151">
        <f>IF(J151="","",IF(H151&lt;&gt;"",IF(J151&lt;=H151,"Oui","NON"),IF(K151&lt;=6,"Oui","NON")))</f>
        <v/>
      </c>
      <c r="M151" s="4" t="n"/>
      <c r="N151" s="4" t="n"/>
      <c r="O151" s="4" t="n"/>
      <c r="P151" s="4" t="n"/>
    </row>
    <row r="152">
      <c r="A152" s="4" t="n"/>
      <c r="B152" s="4" t="n"/>
      <c r="C152" s="6" t="n"/>
      <c r="D152" s="4" t="n"/>
      <c r="E152" s="4" t="n"/>
      <c r="F152" s="4" t="n"/>
      <c r="G152" s="6" t="n"/>
      <c r="H152" s="6" t="n"/>
      <c r="I152" s="6" t="n"/>
      <c r="J152" s="6" t="n"/>
      <c r="K152">
        <f>IF(OR(C152="",J152=""),"",NETWORKDAYS(C152,J152,Fériés!$A$2:$A$40)-1)</f>
        <v/>
      </c>
      <c r="L152">
        <f>IF(J152="","",IF(H152&lt;&gt;"",IF(J152&lt;=H152,"Oui","NON"),IF(K152&lt;=6,"Oui","NON")))</f>
        <v/>
      </c>
      <c r="M152" s="4" t="n"/>
      <c r="N152" s="4" t="n"/>
      <c r="O152" s="4" t="n"/>
      <c r="P152" s="4" t="n"/>
    </row>
    <row r="153">
      <c r="A153" s="4" t="n"/>
      <c r="B153" s="4" t="n"/>
      <c r="C153" s="6" t="n"/>
      <c r="D153" s="4" t="n"/>
      <c r="E153" s="4" t="n"/>
      <c r="F153" s="4" t="n"/>
      <c r="G153" s="6" t="n"/>
      <c r="H153" s="6" t="n"/>
      <c r="I153" s="6" t="n"/>
      <c r="J153" s="6" t="n"/>
      <c r="K153">
        <f>IF(OR(C153="",J153=""),"",NETWORKDAYS(C153,J153,Fériés!$A$2:$A$40)-1)</f>
        <v/>
      </c>
      <c r="L153">
        <f>IF(J153="","",IF(H153&lt;&gt;"",IF(J153&lt;=H153,"Oui","NON"),IF(K153&lt;=6,"Oui","NON")))</f>
        <v/>
      </c>
      <c r="M153" s="4" t="n"/>
      <c r="N153" s="4" t="n"/>
      <c r="O153" s="4" t="n"/>
      <c r="P153" s="4" t="n"/>
    </row>
    <row r="154">
      <c r="A154" s="4" t="n"/>
      <c r="B154" s="4" t="n"/>
      <c r="C154" s="6" t="n"/>
      <c r="D154" s="4" t="n"/>
      <c r="E154" s="4" t="n"/>
      <c r="F154" s="4" t="n"/>
      <c r="G154" s="6" t="n"/>
      <c r="H154" s="6" t="n"/>
      <c r="I154" s="6" t="n"/>
      <c r="J154" s="6" t="n"/>
      <c r="K154">
        <f>IF(OR(C154="",J154=""),"",NETWORKDAYS(C154,J154,Fériés!$A$2:$A$40)-1)</f>
        <v/>
      </c>
      <c r="L154">
        <f>IF(J154="","",IF(H154&lt;&gt;"",IF(J154&lt;=H154,"Oui","NON"),IF(K154&lt;=6,"Oui","NON")))</f>
        <v/>
      </c>
      <c r="M154" s="4" t="n"/>
      <c r="N154" s="4" t="n"/>
      <c r="O154" s="4" t="n"/>
      <c r="P154" s="4" t="n"/>
    </row>
    <row r="155">
      <c r="A155" s="4" t="n"/>
      <c r="B155" s="4" t="n"/>
      <c r="C155" s="6" t="n"/>
      <c r="D155" s="4" t="n"/>
      <c r="E155" s="4" t="n"/>
      <c r="F155" s="4" t="n"/>
      <c r="G155" s="6" t="n"/>
      <c r="H155" s="6" t="n"/>
      <c r="I155" s="6" t="n"/>
      <c r="J155" s="6" t="n"/>
      <c r="K155">
        <f>IF(OR(C155="",J155=""),"",NETWORKDAYS(C155,J155,Fériés!$A$2:$A$40)-1)</f>
        <v/>
      </c>
      <c r="L155">
        <f>IF(J155="","",IF(H155&lt;&gt;"",IF(J155&lt;=H155,"Oui","NON"),IF(K155&lt;=6,"Oui","NON")))</f>
        <v/>
      </c>
      <c r="M155" s="4" t="n"/>
      <c r="N155" s="4" t="n"/>
      <c r="O155" s="4" t="n"/>
      <c r="P155" s="4" t="n"/>
    </row>
    <row r="156">
      <c r="A156" s="4" t="n"/>
      <c r="B156" s="4" t="n"/>
      <c r="C156" s="6" t="n"/>
      <c r="D156" s="4" t="n"/>
      <c r="E156" s="4" t="n"/>
      <c r="F156" s="4" t="n"/>
      <c r="G156" s="6" t="n"/>
      <c r="H156" s="6" t="n"/>
      <c r="I156" s="6" t="n"/>
      <c r="J156" s="6" t="n"/>
      <c r="K156">
        <f>IF(OR(C156="",J156=""),"",NETWORKDAYS(C156,J156,Fériés!$A$2:$A$40)-1)</f>
        <v/>
      </c>
      <c r="L156">
        <f>IF(J156="","",IF(H156&lt;&gt;"",IF(J156&lt;=H156,"Oui","NON"),IF(K156&lt;=6,"Oui","NON")))</f>
        <v/>
      </c>
      <c r="M156" s="4" t="n"/>
      <c r="N156" s="4" t="n"/>
      <c r="O156" s="4" t="n"/>
      <c r="P156" s="4" t="n"/>
    </row>
    <row r="157">
      <c r="A157" s="4" t="n"/>
      <c r="B157" s="4" t="n"/>
      <c r="C157" s="6" t="n"/>
      <c r="D157" s="4" t="n"/>
      <c r="E157" s="4" t="n"/>
      <c r="F157" s="4" t="n"/>
      <c r="G157" s="6" t="n"/>
      <c r="H157" s="6" t="n"/>
      <c r="I157" s="6" t="n"/>
      <c r="J157" s="6" t="n"/>
      <c r="K157">
        <f>IF(OR(C157="",J157=""),"",NETWORKDAYS(C157,J157,Fériés!$A$2:$A$40)-1)</f>
        <v/>
      </c>
      <c r="L157">
        <f>IF(J157="","",IF(H157&lt;&gt;"",IF(J157&lt;=H157,"Oui","NON"),IF(K157&lt;=6,"Oui","NON")))</f>
        <v/>
      </c>
      <c r="M157" s="4" t="n"/>
      <c r="N157" s="4" t="n"/>
      <c r="O157" s="4" t="n"/>
      <c r="P157" s="4" t="n"/>
    </row>
    <row r="158">
      <c r="A158" s="4" t="n"/>
      <c r="B158" s="4" t="n"/>
      <c r="C158" s="6" t="n"/>
      <c r="D158" s="4" t="n"/>
      <c r="E158" s="4" t="n"/>
      <c r="F158" s="4" t="n"/>
      <c r="G158" s="6" t="n"/>
      <c r="H158" s="6" t="n"/>
      <c r="I158" s="6" t="n"/>
      <c r="J158" s="6" t="n"/>
      <c r="K158">
        <f>IF(OR(C158="",J158=""),"",NETWORKDAYS(C158,J158,Fériés!$A$2:$A$40)-1)</f>
        <v/>
      </c>
      <c r="L158">
        <f>IF(J158="","",IF(H158&lt;&gt;"",IF(J158&lt;=H158,"Oui","NON"),IF(K158&lt;=6,"Oui","NON")))</f>
        <v/>
      </c>
      <c r="M158" s="4" t="n"/>
      <c r="N158" s="4" t="n"/>
      <c r="O158" s="4" t="n"/>
      <c r="P158" s="4" t="n"/>
    </row>
    <row r="159">
      <c r="A159" s="4" t="n"/>
      <c r="B159" s="4" t="n"/>
      <c r="C159" s="6" t="n"/>
      <c r="D159" s="4" t="n"/>
      <c r="E159" s="4" t="n"/>
      <c r="F159" s="4" t="n"/>
      <c r="G159" s="6" t="n"/>
      <c r="H159" s="6" t="n"/>
      <c r="I159" s="6" t="n"/>
      <c r="J159" s="6" t="n"/>
      <c r="K159">
        <f>IF(OR(C159="",J159=""),"",NETWORKDAYS(C159,J159,Fériés!$A$2:$A$40)-1)</f>
        <v/>
      </c>
      <c r="L159">
        <f>IF(J159="","",IF(H159&lt;&gt;"",IF(J159&lt;=H159,"Oui","NON"),IF(K159&lt;=6,"Oui","NON")))</f>
        <v/>
      </c>
      <c r="M159" s="4" t="n"/>
      <c r="N159" s="4" t="n"/>
      <c r="O159" s="4" t="n"/>
      <c r="P159" s="4" t="n"/>
    </row>
    <row r="160">
      <c r="A160" s="4" t="n"/>
      <c r="B160" s="4" t="n"/>
      <c r="C160" s="6" t="n"/>
      <c r="D160" s="4" t="n"/>
      <c r="E160" s="4" t="n"/>
      <c r="F160" s="4" t="n"/>
      <c r="G160" s="6" t="n"/>
      <c r="H160" s="6" t="n"/>
      <c r="I160" s="6" t="n"/>
      <c r="J160" s="6" t="n"/>
      <c r="K160">
        <f>IF(OR(C160="",J160=""),"",NETWORKDAYS(C160,J160,Fériés!$A$2:$A$40)-1)</f>
        <v/>
      </c>
      <c r="L160">
        <f>IF(J160="","",IF(H160&lt;&gt;"",IF(J160&lt;=H160,"Oui","NON"),IF(K160&lt;=6,"Oui","NON")))</f>
        <v/>
      </c>
      <c r="M160" s="4" t="n"/>
      <c r="N160" s="4" t="n"/>
      <c r="O160" s="4" t="n"/>
      <c r="P160" s="4" t="n"/>
    </row>
    <row r="161">
      <c r="A161" s="4" t="n"/>
      <c r="B161" s="4" t="n"/>
      <c r="C161" s="6" t="n"/>
      <c r="D161" s="4" t="n"/>
      <c r="E161" s="4" t="n"/>
      <c r="F161" s="4" t="n"/>
      <c r="G161" s="6" t="n"/>
      <c r="H161" s="6" t="n"/>
      <c r="I161" s="6" t="n"/>
      <c r="J161" s="6" t="n"/>
      <c r="K161">
        <f>IF(OR(C161="",J161=""),"",NETWORKDAYS(C161,J161,Fériés!$A$2:$A$40)-1)</f>
        <v/>
      </c>
      <c r="L161">
        <f>IF(J161="","",IF(H161&lt;&gt;"",IF(J161&lt;=H161,"Oui","NON"),IF(K161&lt;=6,"Oui","NON")))</f>
        <v/>
      </c>
      <c r="M161" s="4" t="n"/>
      <c r="N161" s="4" t="n"/>
      <c r="O161" s="4" t="n"/>
      <c r="P161" s="4" t="n"/>
    </row>
    <row r="162">
      <c r="A162" s="4" t="n"/>
      <c r="B162" s="4" t="n"/>
      <c r="C162" s="6" t="n"/>
      <c r="D162" s="4" t="n"/>
      <c r="E162" s="4" t="n"/>
      <c r="F162" s="4" t="n"/>
      <c r="G162" s="6" t="n"/>
      <c r="H162" s="6" t="n"/>
      <c r="I162" s="6" t="n"/>
      <c r="J162" s="6" t="n"/>
      <c r="K162">
        <f>IF(OR(C162="",J162=""),"",NETWORKDAYS(C162,J162,Fériés!$A$2:$A$40)-1)</f>
        <v/>
      </c>
      <c r="L162">
        <f>IF(J162="","",IF(H162&lt;&gt;"",IF(J162&lt;=H162,"Oui","NON"),IF(K162&lt;=6,"Oui","NON")))</f>
        <v/>
      </c>
      <c r="M162" s="4" t="n"/>
      <c r="N162" s="4" t="n"/>
      <c r="O162" s="4" t="n"/>
      <c r="P162" s="4" t="n"/>
    </row>
    <row r="163">
      <c r="A163" s="4" t="n"/>
      <c r="B163" s="4" t="n"/>
      <c r="C163" s="6" t="n"/>
      <c r="D163" s="4" t="n"/>
      <c r="E163" s="4" t="n"/>
      <c r="F163" s="4" t="n"/>
      <c r="G163" s="6" t="n"/>
      <c r="H163" s="6" t="n"/>
      <c r="I163" s="6" t="n"/>
      <c r="J163" s="6" t="n"/>
      <c r="K163">
        <f>IF(OR(C163="",J163=""),"",NETWORKDAYS(C163,J163,Fériés!$A$2:$A$40)-1)</f>
        <v/>
      </c>
      <c r="L163">
        <f>IF(J163="","",IF(H163&lt;&gt;"",IF(J163&lt;=H163,"Oui","NON"),IF(K163&lt;=6,"Oui","NON")))</f>
        <v/>
      </c>
      <c r="M163" s="4" t="n"/>
      <c r="N163" s="4" t="n"/>
      <c r="O163" s="4" t="n"/>
      <c r="P163" s="4" t="n"/>
    </row>
    <row r="164">
      <c r="A164" s="4" t="n"/>
      <c r="B164" s="4" t="n"/>
      <c r="C164" s="6" t="n"/>
      <c r="D164" s="4" t="n"/>
      <c r="E164" s="4" t="n"/>
      <c r="F164" s="4" t="n"/>
      <c r="G164" s="6" t="n"/>
      <c r="H164" s="6" t="n"/>
      <c r="I164" s="6" t="n"/>
      <c r="J164" s="6" t="n"/>
      <c r="K164">
        <f>IF(OR(C164="",J164=""),"",NETWORKDAYS(C164,J164,Fériés!$A$2:$A$40)-1)</f>
        <v/>
      </c>
      <c r="L164">
        <f>IF(J164="","",IF(H164&lt;&gt;"",IF(J164&lt;=H164,"Oui","NON"),IF(K164&lt;=6,"Oui","NON")))</f>
        <v/>
      </c>
      <c r="M164" s="4" t="n"/>
      <c r="N164" s="4" t="n"/>
      <c r="O164" s="4" t="n"/>
      <c r="P164" s="4" t="n"/>
    </row>
    <row r="165">
      <c r="A165" s="4" t="n"/>
      <c r="B165" s="4" t="n"/>
      <c r="C165" s="6" t="n"/>
      <c r="D165" s="4" t="n"/>
      <c r="E165" s="4" t="n"/>
      <c r="F165" s="4" t="n"/>
      <c r="G165" s="6" t="n"/>
      <c r="H165" s="6" t="n"/>
      <c r="I165" s="6" t="n"/>
      <c r="J165" s="6" t="n"/>
      <c r="K165">
        <f>IF(OR(C165="",J165=""),"",NETWORKDAYS(C165,J165,Fériés!$A$2:$A$40)-1)</f>
        <v/>
      </c>
      <c r="L165">
        <f>IF(J165="","",IF(H165&lt;&gt;"",IF(J165&lt;=H165,"Oui","NON"),IF(K165&lt;=6,"Oui","NON")))</f>
        <v/>
      </c>
      <c r="M165" s="4" t="n"/>
      <c r="N165" s="4" t="n"/>
      <c r="O165" s="4" t="n"/>
      <c r="P165" s="4" t="n"/>
    </row>
    <row r="166">
      <c r="A166" s="4" t="n"/>
      <c r="B166" s="4" t="n"/>
      <c r="C166" s="6" t="n"/>
      <c r="D166" s="4" t="n"/>
      <c r="E166" s="4" t="n"/>
      <c r="F166" s="4" t="n"/>
      <c r="G166" s="6" t="n"/>
      <c r="H166" s="6" t="n"/>
      <c r="I166" s="6" t="n"/>
      <c r="J166" s="6" t="n"/>
      <c r="K166">
        <f>IF(OR(C166="",J166=""),"",NETWORKDAYS(C166,J166,Fériés!$A$2:$A$40)-1)</f>
        <v/>
      </c>
      <c r="L166">
        <f>IF(J166="","",IF(H166&lt;&gt;"",IF(J166&lt;=H166,"Oui","NON"),IF(K166&lt;=6,"Oui","NON")))</f>
        <v/>
      </c>
      <c r="M166" s="4" t="n"/>
      <c r="N166" s="4" t="n"/>
      <c r="O166" s="4" t="n"/>
      <c r="P166" s="4" t="n"/>
    </row>
    <row r="167">
      <c r="A167" s="4" t="n"/>
      <c r="B167" s="4" t="n"/>
      <c r="C167" s="6" t="n"/>
      <c r="D167" s="4" t="n"/>
      <c r="E167" s="4" t="n"/>
      <c r="F167" s="4" t="n"/>
      <c r="G167" s="6" t="n"/>
      <c r="H167" s="6" t="n"/>
      <c r="I167" s="6" t="n"/>
      <c r="J167" s="6" t="n"/>
      <c r="K167">
        <f>IF(OR(C167="",J167=""),"",NETWORKDAYS(C167,J167,Fériés!$A$2:$A$40)-1)</f>
        <v/>
      </c>
      <c r="L167">
        <f>IF(J167="","",IF(H167&lt;&gt;"",IF(J167&lt;=H167,"Oui","NON"),IF(K167&lt;=6,"Oui","NON")))</f>
        <v/>
      </c>
      <c r="M167" s="4" t="n"/>
      <c r="N167" s="4" t="n"/>
      <c r="O167" s="4" t="n"/>
      <c r="P167" s="4" t="n"/>
    </row>
    <row r="168">
      <c r="A168" s="4" t="n"/>
      <c r="B168" s="4" t="n"/>
      <c r="C168" s="6" t="n"/>
      <c r="D168" s="4" t="n"/>
      <c r="E168" s="4" t="n"/>
      <c r="F168" s="4" t="n"/>
      <c r="G168" s="6" t="n"/>
      <c r="H168" s="6" t="n"/>
      <c r="I168" s="6" t="n"/>
      <c r="J168" s="6" t="n"/>
      <c r="K168">
        <f>IF(OR(C168="",J168=""),"",NETWORKDAYS(C168,J168,Fériés!$A$2:$A$40)-1)</f>
        <v/>
      </c>
      <c r="L168">
        <f>IF(J168="","",IF(H168&lt;&gt;"",IF(J168&lt;=H168,"Oui","NON"),IF(K168&lt;=6,"Oui","NON")))</f>
        <v/>
      </c>
      <c r="M168" s="4" t="n"/>
      <c r="N168" s="4" t="n"/>
      <c r="O168" s="4" t="n"/>
      <c r="P168" s="4" t="n"/>
    </row>
    <row r="169">
      <c r="A169" s="4" t="n"/>
      <c r="B169" s="4" t="n"/>
      <c r="C169" s="6" t="n"/>
      <c r="D169" s="4" t="n"/>
      <c r="E169" s="4" t="n"/>
      <c r="F169" s="4" t="n"/>
      <c r="G169" s="6" t="n"/>
      <c r="H169" s="6" t="n"/>
      <c r="I169" s="6" t="n"/>
      <c r="J169" s="6" t="n"/>
      <c r="K169">
        <f>IF(OR(C169="",J169=""),"",NETWORKDAYS(C169,J169,Fériés!$A$2:$A$40)-1)</f>
        <v/>
      </c>
      <c r="L169">
        <f>IF(J169="","",IF(H169&lt;&gt;"",IF(J169&lt;=H169,"Oui","NON"),IF(K169&lt;=6,"Oui","NON")))</f>
        <v/>
      </c>
      <c r="M169" s="4" t="n"/>
      <c r="N169" s="4" t="n"/>
      <c r="O169" s="4" t="n"/>
      <c r="P169" s="4" t="n"/>
    </row>
    <row r="170">
      <c r="A170" s="4" t="n"/>
      <c r="B170" s="4" t="n"/>
      <c r="C170" s="6" t="n"/>
      <c r="D170" s="4" t="n"/>
      <c r="E170" s="4" t="n"/>
      <c r="F170" s="4" t="n"/>
      <c r="G170" s="6" t="n"/>
      <c r="H170" s="6" t="n"/>
      <c r="I170" s="6" t="n"/>
      <c r="J170" s="6" t="n"/>
      <c r="K170">
        <f>IF(OR(C170="",J170=""),"",NETWORKDAYS(C170,J170,Fériés!$A$2:$A$40)-1)</f>
        <v/>
      </c>
      <c r="L170">
        <f>IF(J170="","",IF(H170&lt;&gt;"",IF(J170&lt;=H170,"Oui","NON"),IF(K170&lt;=6,"Oui","NON")))</f>
        <v/>
      </c>
      <c r="M170" s="4" t="n"/>
      <c r="N170" s="4" t="n"/>
      <c r="O170" s="4" t="n"/>
      <c r="P170" s="4" t="n"/>
    </row>
    <row r="171">
      <c r="A171" s="4" t="n"/>
      <c r="B171" s="4" t="n"/>
      <c r="C171" s="6" t="n"/>
      <c r="D171" s="4" t="n"/>
      <c r="E171" s="4" t="n"/>
      <c r="F171" s="4" t="n"/>
      <c r="G171" s="6" t="n"/>
      <c r="H171" s="6" t="n"/>
      <c r="I171" s="6" t="n"/>
      <c r="J171" s="6" t="n"/>
      <c r="K171">
        <f>IF(OR(C171="",J171=""),"",NETWORKDAYS(C171,J171,Fériés!$A$2:$A$40)-1)</f>
        <v/>
      </c>
      <c r="L171">
        <f>IF(J171="","",IF(H171&lt;&gt;"",IF(J171&lt;=H171,"Oui","NON"),IF(K171&lt;=6,"Oui","NON")))</f>
        <v/>
      </c>
      <c r="M171" s="4" t="n"/>
      <c r="N171" s="4" t="n"/>
      <c r="O171" s="4" t="n"/>
      <c r="P171" s="4" t="n"/>
    </row>
    <row r="172">
      <c r="A172" s="4" t="n"/>
      <c r="B172" s="4" t="n"/>
      <c r="C172" s="6" t="n"/>
      <c r="D172" s="4" t="n"/>
      <c r="E172" s="4" t="n"/>
      <c r="F172" s="4" t="n"/>
      <c r="G172" s="6" t="n"/>
      <c r="H172" s="6" t="n"/>
      <c r="I172" s="6" t="n"/>
      <c r="J172" s="6" t="n"/>
      <c r="K172">
        <f>IF(OR(C172="",J172=""),"",NETWORKDAYS(C172,J172,Fériés!$A$2:$A$40)-1)</f>
        <v/>
      </c>
      <c r="L172">
        <f>IF(J172="","",IF(H172&lt;&gt;"",IF(J172&lt;=H172,"Oui","NON"),IF(K172&lt;=6,"Oui","NON")))</f>
        <v/>
      </c>
      <c r="M172" s="4" t="n"/>
      <c r="N172" s="4" t="n"/>
      <c r="O172" s="4" t="n"/>
      <c r="P172" s="4" t="n"/>
    </row>
    <row r="173">
      <c r="A173" s="4" t="n"/>
      <c r="B173" s="4" t="n"/>
      <c r="C173" s="6" t="n"/>
      <c r="D173" s="4" t="n"/>
      <c r="E173" s="4" t="n"/>
      <c r="F173" s="4" t="n"/>
      <c r="G173" s="6" t="n"/>
      <c r="H173" s="6" t="n"/>
      <c r="I173" s="6" t="n"/>
      <c r="J173" s="6" t="n"/>
      <c r="K173">
        <f>IF(OR(C173="",J173=""),"",NETWORKDAYS(C173,J173,Fériés!$A$2:$A$40)-1)</f>
        <v/>
      </c>
      <c r="L173">
        <f>IF(J173="","",IF(H173&lt;&gt;"",IF(J173&lt;=H173,"Oui","NON"),IF(K173&lt;=6,"Oui","NON")))</f>
        <v/>
      </c>
      <c r="M173" s="4" t="n"/>
      <c r="N173" s="4" t="n"/>
      <c r="O173" s="4" t="n"/>
      <c r="P173" s="4" t="n"/>
    </row>
    <row r="174">
      <c r="A174" s="4" t="n"/>
      <c r="B174" s="4" t="n"/>
      <c r="C174" s="6" t="n"/>
      <c r="D174" s="4" t="n"/>
      <c r="E174" s="4" t="n"/>
      <c r="F174" s="4" t="n"/>
      <c r="G174" s="6" t="n"/>
      <c r="H174" s="6" t="n"/>
      <c r="I174" s="6" t="n"/>
      <c r="J174" s="6" t="n"/>
      <c r="K174">
        <f>IF(OR(C174="",J174=""),"",NETWORKDAYS(C174,J174,Fériés!$A$2:$A$40)-1)</f>
        <v/>
      </c>
      <c r="L174">
        <f>IF(J174="","",IF(H174&lt;&gt;"",IF(J174&lt;=H174,"Oui","NON"),IF(K174&lt;=6,"Oui","NON")))</f>
        <v/>
      </c>
      <c r="M174" s="4" t="n"/>
      <c r="N174" s="4" t="n"/>
      <c r="O174" s="4" t="n"/>
      <c r="P174" s="4" t="n"/>
    </row>
    <row r="175">
      <c r="A175" s="4" t="n"/>
      <c r="B175" s="4" t="n"/>
      <c r="C175" s="6" t="n"/>
      <c r="D175" s="4" t="n"/>
      <c r="E175" s="4" t="n"/>
      <c r="F175" s="4" t="n"/>
      <c r="G175" s="6" t="n"/>
      <c r="H175" s="6" t="n"/>
      <c r="I175" s="6" t="n"/>
      <c r="J175" s="6" t="n"/>
      <c r="K175">
        <f>IF(OR(C175="",J175=""),"",NETWORKDAYS(C175,J175,Fériés!$A$2:$A$40)-1)</f>
        <v/>
      </c>
      <c r="L175">
        <f>IF(J175="","",IF(H175&lt;&gt;"",IF(J175&lt;=H175,"Oui","NON"),IF(K175&lt;=6,"Oui","NON")))</f>
        <v/>
      </c>
      <c r="M175" s="4" t="n"/>
      <c r="N175" s="4" t="n"/>
      <c r="O175" s="4" t="n"/>
      <c r="P175" s="4" t="n"/>
    </row>
    <row r="176">
      <c r="A176" s="4" t="n"/>
      <c r="B176" s="4" t="n"/>
      <c r="C176" s="6" t="n"/>
      <c r="D176" s="4" t="n"/>
      <c r="E176" s="4" t="n"/>
      <c r="F176" s="4" t="n"/>
      <c r="G176" s="6" t="n"/>
      <c r="H176" s="6" t="n"/>
      <c r="I176" s="6" t="n"/>
      <c r="J176" s="6" t="n"/>
      <c r="K176">
        <f>IF(OR(C176="",J176=""),"",NETWORKDAYS(C176,J176,Fériés!$A$2:$A$40)-1)</f>
        <v/>
      </c>
      <c r="L176">
        <f>IF(J176="","",IF(H176&lt;&gt;"",IF(J176&lt;=H176,"Oui","NON"),IF(K176&lt;=6,"Oui","NON")))</f>
        <v/>
      </c>
      <c r="M176" s="4" t="n"/>
      <c r="N176" s="4" t="n"/>
      <c r="O176" s="4" t="n"/>
      <c r="P176" s="4" t="n"/>
    </row>
    <row r="177">
      <c r="A177" s="4" t="n"/>
      <c r="B177" s="4" t="n"/>
      <c r="C177" s="6" t="n"/>
      <c r="D177" s="4" t="n"/>
      <c r="E177" s="4" t="n"/>
      <c r="F177" s="4" t="n"/>
      <c r="G177" s="6" t="n"/>
      <c r="H177" s="6" t="n"/>
      <c r="I177" s="6" t="n"/>
      <c r="J177" s="6" t="n"/>
      <c r="K177">
        <f>IF(OR(C177="",J177=""),"",NETWORKDAYS(C177,J177,Fériés!$A$2:$A$40)-1)</f>
        <v/>
      </c>
      <c r="L177">
        <f>IF(J177="","",IF(H177&lt;&gt;"",IF(J177&lt;=H177,"Oui","NON"),IF(K177&lt;=6,"Oui","NON")))</f>
        <v/>
      </c>
      <c r="M177" s="4" t="n"/>
      <c r="N177" s="4" t="n"/>
      <c r="O177" s="4" t="n"/>
      <c r="P177" s="4" t="n"/>
    </row>
    <row r="178">
      <c r="A178" s="4" t="n"/>
      <c r="B178" s="4" t="n"/>
      <c r="C178" s="6" t="n"/>
      <c r="D178" s="4" t="n"/>
      <c r="E178" s="4" t="n"/>
      <c r="F178" s="4" t="n"/>
      <c r="G178" s="6" t="n"/>
      <c r="H178" s="6" t="n"/>
      <c r="I178" s="6" t="n"/>
      <c r="J178" s="6" t="n"/>
      <c r="K178">
        <f>IF(OR(C178="",J178=""),"",NETWORKDAYS(C178,J178,Fériés!$A$2:$A$40)-1)</f>
        <v/>
      </c>
      <c r="L178">
        <f>IF(J178="","",IF(H178&lt;&gt;"",IF(J178&lt;=H178,"Oui","NON"),IF(K178&lt;=6,"Oui","NON")))</f>
        <v/>
      </c>
      <c r="M178" s="4" t="n"/>
      <c r="N178" s="4" t="n"/>
      <c r="O178" s="4" t="n"/>
      <c r="P178" s="4" t="n"/>
    </row>
    <row r="179">
      <c r="A179" s="4" t="n"/>
      <c r="B179" s="4" t="n"/>
      <c r="C179" s="6" t="n"/>
      <c r="D179" s="4" t="n"/>
      <c r="E179" s="4" t="n"/>
      <c r="F179" s="4" t="n"/>
      <c r="G179" s="6" t="n"/>
      <c r="H179" s="6" t="n"/>
      <c r="I179" s="6" t="n"/>
      <c r="J179" s="6" t="n"/>
      <c r="K179">
        <f>IF(OR(C179="",J179=""),"",NETWORKDAYS(C179,J179,Fériés!$A$2:$A$40)-1)</f>
        <v/>
      </c>
      <c r="L179">
        <f>IF(J179="","",IF(H179&lt;&gt;"",IF(J179&lt;=H179,"Oui","NON"),IF(K179&lt;=6,"Oui","NON")))</f>
        <v/>
      </c>
      <c r="M179" s="4" t="n"/>
      <c r="N179" s="4" t="n"/>
      <c r="O179" s="4" t="n"/>
      <c r="P179" s="4" t="n"/>
    </row>
    <row r="180">
      <c r="A180" s="4" t="n"/>
      <c r="B180" s="4" t="n"/>
      <c r="C180" s="6" t="n"/>
      <c r="D180" s="4" t="n"/>
      <c r="E180" s="4" t="n"/>
      <c r="F180" s="4" t="n"/>
      <c r="G180" s="6" t="n"/>
      <c r="H180" s="6" t="n"/>
      <c r="I180" s="6" t="n"/>
      <c r="J180" s="6" t="n"/>
      <c r="K180">
        <f>IF(OR(C180="",J180=""),"",NETWORKDAYS(C180,J180,Fériés!$A$2:$A$40)-1)</f>
        <v/>
      </c>
      <c r="L180">
        <f>IF(J180="","",IF(H180&lt;&gt;"",IF(J180&lt;=H180,"Oui","NON"),IF(K180&lt;=6,"Oui","NON")))</f>
        <v/>
      </c>
      <c r="M180" s="4" t="n"/>
      <c r="N180" s="4" t="n"/>
      <c r="O180" s="4" t="n"/>
      <c r="P180" s="4" t="n"/>
    </row>
    <row r="181">
      <c r="A181" s="4" t="n"/>
      <c r="B181" s="4" t="n"/>
      <c r="C181" s="6" t="n"/>
      <c r="D181" s="4" t="n"/>
      <c r="E181" s="4" t="n"/>
      <c r="F181" s="4" t="n"/>
      <c r="G181" s="6" t="n"/>
      <c r="H181" s="6" t="n"/>
      <c r="I181" s="6" t="n"/>
      <c r="J181" s="6" t="n"/>
      <c r="K181">
        <f>IF(OR(C181="",J181=""),"",NETWORKDAYS(C181,J181,Fériés!$A$2:$A$40)-1)</f>
        <v/>
      </c>
      <c r="L181">
        <f>IF(J181="","",IF(H181&lt;&gt;"",IF(J181&lt;=H181,"Oui","NON"),IF(K181&lt;=6,"Oui","NON")))</f>
        <v/>
      </c>
      <c r="M181" s="4" t="n"/>
      <c r="N181" s="4" t="n"/>
      <c r="O181" s="4" t="n"/>
      <c r="P181" s="4" t="n"/>
    </row>
    <row r="182">
      <c r="A182" s="4" t="n"/>
      <c r="B182" s="4" t="n"/>
      <c r="C182" s="6" t="n"/>
      <c r="D182" s="4" t="n"/>
      <c r="E182" s="4" t="n"/>
      <c r="F182" s="4" t="n"/>
      <c r="G182" s="6" t="n"/>
      <c r="H182" s="6" t="n"/>
      <c r="I182" s="6" t="n"/>
      <c r="J182" s="6" t="n"/>
      <c r="K182">
        <f>IF(OR(C182="",J182=""),"",NETWORKDAYS(C182,J182,Fériés!$A$2:$A$40)-1)</f>
        <v/>
      </c>
      <c r="L182">
        <f>IF(J182="","",IF(H182&lt;&gt;"",IF(J182&lt;=H182,"Oui","NON"),IF(K182&lt;=6,"Oui","NON")))</f>
        <v/>
      </c>
      <c r="M182" s="4" t="n"/>
      <c r="N182" s="4" t="n"/>
      <c r="O182" s="4" t="n"/>
      <c r="P182" s="4" t="n"/>
    </row>
    <row r="183">
      <c r="A183" s="4" t="n"/>
      <c r="B183" s="4" t="n"/>
      <c r="C183" s="6" t="n"/>
      <c r="D183" s="4" t="n"/>
      <c r="E183" s="4" t="n"/>
      <c r="F183" s="4" t="n"/>
      <c r="G183" s="6" t="n"/>
      <c r="H183" s="6" t="n"/>
      <c r="I183" s="6" t="n"/>
      <c r="J183" s="6" t="n"/>
      <c r="K183">
        <f>IF(OR(C183="",J183=""),"",NETWORKDAYS(C183,J183,Fériés!$A$2:$A$40)-1)</f>
        <v/>
      </c>
      <c r="L183">
        <f>IF(J183="","",IF(H183&lt;&gt;"",IF(J183&lt;=H183,"Oui","NON"),IF(K183&lt;=6,"Oui","NON")))</f>
        <v/>
      </c>
      <c r="M183" s="4" t="n"/>
      <c r="N183" s="4" t="n"/>
      <c r="O183" s="4" t="n"/>
      <c r="P183" s="4" t="n"/>
    </row>
    <row r="184">
      <c r="A184" s="4" t="n"/>
      <c r="B184" s="4" t="n"/>
      <c r="C184" s="6" t="n"/>
      <c r="D184" s="4" t="n"/>
      <c r="E184" s="4" t="n"/>
      <c r="F184" s="4" t="n"/>
      <c r="G184" s="6" t="n"/>
      <c r="H184" s="6" t="n"/>
      <c r="I184" s="6" t="n"/>
      <c r="J184" s="6" t="n"/>
      <c r="K184">
        <f>IF(OR(C184="",J184=""),"",NETWORKDAYS(C184,J184,Fériés!$A$2:$A$40)-1)</f>
        <v/>
      </c>
      <c r="L184">
        <f>IF(J184="","",IF(H184&lt;&gt;"",IF(J184&lt;=H184,"Oui","NON"),IF(K184&lt;=6,"Oui","NON")))</f>
        <v/>
      </c>
      <c r="M184" s="4" t="n"/>
      <c r="N184" s="4" t="n"/>
      <c r="O184" s="4" t="n"/>
      <c r="P184" s="4" t="n"/>
    </row>
    <row r="185">
      <c r="A185" s="4" t="n"/>
      <c r="B185" s="4" t="n"/>
      <c r="C185" s="6" t="n"/>
      <c r="D185" s="4" t="n"/>
      <c r="E185" s="4" t="n"/>
      <c r="F185" s="4" t="n"/>
      <c r="G185" s="6" t="n"/>
      <c r="H185" s="6" t="n"/>
      <c r="I185" s="6" t="n"/>
      <c r="J185" s="6" t="n"/>
      <c r="K185">
        <f>IF(OR(C185="",J185=""),"",NETWORKDAYS(C185,J185,Fériés!$A$2:$A$40)-1)</f>
        <v/>
      </c>
      <c r="L185">
        <f>IF(J185="","",IF(H185&lt;&gt;"",IF(J185&lt;=H185,"Oui","NON"),IF(K185&lt;=6,"Oui","NON")))</f>
        <v/>
      </c>
      <c r="M185" s="4" t="n"/>
      <c r="N185" s="4" t="n"/>
      <c r="O185" s="4" t="n"/>
      <c r="P185" s="4" t="n"/>
    </row>
    <row r="186">
      <c r="A186" s="4" t="n"/>
      <c r="B186" s="4" t="n"/>
      <c r="C186" s="6" t="n"/>
      <c r="D186" s="4" t="n"/>
      <c r="E186" s="4" t="n"/>
      <c r="F186" s="4" t="n"/>
      <c r="G186" s="6" t="n"/>
      <c r="H186" s="6" t="n"/>
      <c r="I186" s="6" t="n"/>
      <c r="J186" s="6" t="n"/>
      <c r="K186">
        <f>IF(OR(C186="",J186=""),"",NETWORKDAYS(C186,J186,Fériés!$A$2:$A$40)-1)</f>
        <v/>
      </c>
      <c r="L186">
        <f>IF(J186="","",IF(H186&lt;&gt;"",IF(J186&lt;=H186,"Oui","NON"),IF(K186&lt;=6,"Oui","NON")))</f>
        <v/>
      </c>
      <c r="M186" s="4" t="n"/>
      <c r="N186" s="4" t="n"/>
      <c r="O186" s="4" t="n"/>
      <c r="P186" s="4" t="n"/>
    </row>
    <row r="187">
      <c r="A187" s="4" t="n"/>
      <c r="B187" s="4" t="n"/>
      <c r="C187" s="6" t="n"/>
      <c r="D187" s="4" t="n"/>
      <c r="E187" s="4" t="n"/>
      <c r="F187" s="4" t="n"/>
      <c r="G187" s="6" t="n"/>
      <c r="H187" s="6" t="n"/>
      <c r="I187" s="6" t="n"/>
      <c r="J187" s="6" t="n"/>
      <c r="K187">
        <f>IF(OR(C187="",J187=""),"",NETWORKDAYS(C187,J187,Fériés!$A$2:$A$40)-1)</f>
        <v/>
      </c>
      <c r="L187">
        <f>IF(J187="","",IF(H187&lt;&gt;"",IF(J187&lt;=H187,"Oui","NON"),IF(K187&lt;=6,"Oui","NON")))</f>
        <v/>
      </c>
      <c r="M187" s="4" t="n"/>
      <c r="N187" s="4" t="n"/>
      <c r="O187" s="4" t="n"/>
      <c r="P187" s="4" t="n"/>
    </row>
    <row r="188">
      <c r="A188" s="4" t="n"/>
      <c r="B188" s="4" t="n"/>
      <c r="C188" s="6" t="n"/>
      <c r="D188" s="4" t="n"/>
      <c r="E188" s="4" t="n"/>
      <c r="F188" s="4" t="n"/>
      <c r="G188" s="6" t="n"/>
      <c r="H188" s="6" t="n"/>
      <c r="I188" s="6" t="n"/>
      <c r="J188" s="6" t="n"/>
      <c r="K188">
        <f>IF(OR(C188="",J188=""),"",NETWORKDAYS(C188,J188,Fériés!$A$2:$A$40)-1)</f>
        <v/>
      </c>
      <c r="L188">
        <f>IF(J188="","",IF(H188&lt;&gt;"",IF(J188&lt;=H188,"Oui","NON"),IF(K188&lt;=6,"Oui","NON")))</f>
        <v/>
      </c>
      <c r="M188" s="4" t="n"/>
      <c r="N188" s="4" t="n"/>
      <c r="O188" s="4" t="n"/>
      <c r="P188" s="4" t="n"/>
    </row>
    <row r="189">
      <c r="A189" s="4" t="n"/>
      <c r="B189" s="4" t="n"/>
      <c r="C189" s="6" t="n"/>
      <c r="D189" s="4" t="n"/>
      <c r="E189" s="4" t="n"/>
      <c r="F189" s="4" t="n"/>
      <c r="G189" s="6" t="n"/>
      <c r="H189" s="6" t="n"/>
      <c r="I189" s="6" t="n"/>
      <c r="J189" s="6" t="n"/>
      <c r="K189">
        <f>IF(OR(C189="",J189=""),"",NETWORKDAYS(C189,J189,Fériés!$A$2:$A$40)-1)</f>
        <v/>
      </c>
      <c r="L189">
        <f>IF(J189="","",IF(H189&lt;&gt;"",IF(J189&lt;=H189,"Oui","NON"),IF(K189&lt;=6,"Oui","NON")))</f>
        <v/>
      </c>
      <c r="M189" s="4" t="n"/>
      <c r="N189" s="4" t="n"/>
      <c r="O189" s="4" t="n"/>
      <c r="P189" s="4" t="n"/>
    </row>
    <row r="190">
      <c r="A190" s="4" t="n"/>
      <c r="B190" s="4" t="n"/>
      <c r="C190" s="6" t="n"/>
      <c r="D190" s="4" t="n"/>
      <c r="E190" s="4" t="n"/>
      <c r="F190" s="4" t="n"/>
      <c r="G190" s="6" t="n"/>
      <c r="H190" s="6" t="n"/>
      <c r="I190" s="6" t="n"/>
      <c r="J190" s="6" t="n"/>
      <c r="K190">
        <f>IF(OR(C190="",J190=""),"",NETWORKDAYS(C190,J190,Fériés!$A$2:$A$40)-1)</f>
        <v/>
      </c>
      <c r="L190">
        <f>IF(J190="","",IF(H190&lt;&gt;"",IF(J190&lt;=H190,"Oui","NON"),IF(K190&lt;=6,"Oui","NON")))</f>
        <v/>
      </c>
      <c r="M190" s="4" t="n"/>
      <c r="N190" s="4" t="n"/>
      <c r="O190" s="4" t="n"/>
      <c r="P190" s="4" t="n"/>
    </row>
    <row r="191">
      <c r="A191" s="4" t="n"/>
      <c r="B191" s="4" t="n"/>
      <c r="C191" s="6" t="n"/>
      <c r="D191" s="4" t="n"/>
      <c r="E191" s="4" t="n"/>
      <c r="F191" s="4" t="n"/>
      <c r="G191" s="6" t="n"/>
      <c r="H191" s="6" t="n"/>
      <c r="I191" s="6" t="n"/>
      <c r="J191" s="6" t="n"/>
      <c r="K191">
        <f>IF(OR(C191="",J191=""),"",NETWORKDAYS(C191,J191,Fériés!$A$2:$A$40)-1)</f>
        <v/>
      </c>
      <c r="L191">
        <f>IF(J191="","",IF(H191&lt;&gt;"",IF(J191&lt;=H191,"Oui","NON"),IF(K191&lt;=6,"Oui","NON")))</f>
        <v/>
      </c>
      <c r="M191" s="4" t="n"/>
      <c r="N191" s="4" t="n"/>
      <c r="O191" s="4" t="n"/>
      <c r="P191" s="4" t="n"/>
    </row>
    <row r="192">
      <c r="A192" s="4" t="n"/>
      <c r="B192" s="4" t="n"/>
      <c r="C192" s="6" t="n"/>
      <c r="D192" s="4" t="n"/>
      <c r="E192" s="4" t="n"/>
      <c r="F192" s="4" t="n"/>
      <c r="G192" s="6" t="n"/>
      <c r="H192" s="6" t="n"/>
      <c r="I192" s="6" t="n"/>
      <c r="J192" s="6" t="n"/>
      <c r="K192">
        <f>IF(OR(C192="",J192=""),"",NETWORKDAYS(C192,J192,Fériés!$A$2:$A$40)-1)</f>
        <v/>
      </c>
      <c r="L192">
        <f>IF(J192="","",IF(H192&lt;&gt;"",IF(J192&lt;=H192,"Oui","NON"),IF(K192&lt;=6,"Oui","NON")))</f>
        <v/>
      </c>
      <c r="M192" s="4" t="n"/>
      <c r="N192" s="4" t="n"/>
      <c r="O192" s="4" t="n"/>
      <c r="P192" s="4" t="n"/>
    </row>
    <row r="193">
      <c r="A193" s="4" t="n"/>
      <c r="B193" s="4" t="n"/>
      <c r="C193" s="6" t="n"/>
      <c r="D193" s="4" t="n"/>
      <c r="E193" s="4" t="n"/>
      <c r="F193" s="4" t="n"/>
      <c r="G193" s="6" t="n"/>
      <c r="H193" s="6" t="n"/>
      <c r="I193" s="6" t="n"/>
      <c r="J193" s="6" t="n"/>
      <c r="K193">
        <f>IF(OR(C193="",J193=""),"",NETWORKDAYS(C193,J193,Fériés!$A$2:$A$40)-1)</f>
        <v/>
      </c>
      <c r="L193">
        <f>IF(J193="","",IF(H193&lt;&gt;"",IF(J193&lt;=H193,"Oui","NON"),IF(K193&lt;=6,"Oui","NON")))</f>
        <v/>
      </c>
      <c r="M193" s="4" t="n"/>
      <c r="N193" s="4" t="n"/>
      <c r="O193" s="4" t="n"/>
      <c r="P193" s="4" t="n"/>
    </row>
    <row r="194">
      <c r="A194" s="4" t="n"/>
      <c r="B194" s="4" t="n"/>
      <c r="C194" s="6" t="n"/>
      <c r="D194" s="4" t="n"/>
      <c r="E194" s="4" t="n"/>
      <c r="F194" s="4" t="n"/>
      <c r="G194" s="6" t="n"/>
      <c r="H194" s="6" t="n"/>
      <c r="I194" s="6" t="n"/>
      <c r="J194" s="6" t="n"/>
      <c r="K194">
        <f>IF(OR(C194="",J194=""),"",NETWORKDAYS(C194,J194,Fériés!$A$2:$A$40)-1)</f>
        <v/>
      </c>
      <c r="L194">
        <f>IF(J194="","",IF(H194&lt;&gt;"",IF(J194&lt;=H194,"Oui","NON"),IF(K194&lt;=6,"Oui","NON")))</f>
        <v/>
      </c>
      <c r="M194" s="4" t="n"/>
      <c r="N194" s="4" t="n"/>
      <c r="O194" s="4" t="n"/>
      <c r="P194" s="4" t="n"/>
    </row>
    <row r="195">
      <c r="A195" s="4" t="n"/>
      <c r="B195" s="4" t="n"/>
      <c r="C195" s="6" t="n"/>
      <c r="D195" s="4" t="n"/>
      <c r="E195" s="4" t="n"/>
      <c r="F195" s="4" t="n"/>
      <c r="G195" s="6" t="n"/>
      <c r="H195" s="6" t="n"/>
      <c r="I195" s="6" t="n"/>
      <c r="J195" s="6" t="n"/>
      <c r="K195">
        <f>IF(OR(C195="",J195=""),"",NETWORKDAYS(C195,J195,Fériés!$A$2:$A$40)-1)</f>
        <v/>
      </c>
      <c r="L195">
        <f>IF(J195="","",IF(H195&lt;&gt;"",IF(J195&lt;=H195,"Oui","NON"),IF(K195&lt;=6,"Oui","NON")))</f>
        <v/>
      </c>
      <c r="M195" s="4" t="n"/>
      <c r="N195" s="4" t="n"/>
      <c r="O195" s="4" t="n"/>
      <c r="P195" s="4" t="n"/>
    </row>
    <row r="196">
      <c r="A196" s="4" t="n"/>
      <c r="B196" s="4" t="n"/>
      <c r="C196" s="6" t="n"/>
      <c r="D196" s="4" t="n"/>
      <c r="E196" s="4" t="n"/>
      <c r="F196" s="4" t="n"/>
      <c r="G196" s="6" t="n"/>
      <c r="H196" s="6" t="n"/>
      <c r="I196" s="6" t="n"/>
      <c r="J196" s="6" t="n"/>
      <c r="K196">
        <f>IF(OR(C196="",J196=""),"",NETWORKDAYS(C196,J196,Fériés!$A$2:$A$40)-1)</f>
        <v/>
      </c>
      <c r="L196">
        <f>IF(J196="","",IF(H196&lt;&gt;"",IF(J196&lt;=H196,"Oui","NON"),IF(K196&lt;=6,"Oui","NON")))</f>
        <v/>
      </c>
      <c r="M196" s="4" t="n"/>
      <c r="N196" s="4" t="n"/>
      <c r="O196" s="4" t="n"/>
      <c r="P196" s="4" t="n"/>
    </row>
    <row r="197">
      <c r="A197" s="4" t="n"/>
      <c r="B197" s="4" t="n"/>
      <c r="C197" s="6" t="n"/>
      <c r="D197" s="4" t="n"/>
      <c r="E197" s="4" t="n"/>
      <c r="F197" s="4" t="n"/>
      <c r="G197" s="6" t="n"/>
      <c r="H197" s="6" t="n"/>
      <c r="I197" s="6" t="n"/>
      <c r="J197" s="6" t="n"/>
      <c r="K197">
        <f>IF(OR(C197="",J197=""),"",NETWORKDAYS(C197,J197,Fériés!$A$2:$A$40)-1)</f>
        <v/>
      </c>
      <c r="L197">
        <f>IF(J197="","",IF(H197&lt;&gt;"",IF(J197&lt;=H197,"Oui","NON"),IF(K197&lt;=6,"Oui","NON")))</f>
        <v/>
      </c>
      <c r="M197" s="4" t="n"/>
      <c r="N197" s="4" t="n"/>
      <c r="O197" s="4" t="n"/>
      <c r="P197" s="4" t="n"/>
    </row>
    <row r="198">
      <c r="A198" s="4" t="n"/>
      <c r="B198" s="4" t="n"/>
      <c r="C198" s="6" t="n"/>
      <c r="D198" s="4" t="n"/>
      <c r="E198" s="4" t="n"/>
      <c r="F198" s="4" t="n"/>
      <c r="G198" s="6" t="n"/>
      <c r="H198" s="6" t="n"/>
      <c r="I198" s="6" t="n"/>
      <c r="J198" s="6" t="n"/>
      <c r="K198">
        <f>IF(OR(C198="",J198=""),"",NETWORKDAYS(C198,J198,Fériés!$A$2:$A$40)-1)</f>
        <v/>
      </c>
      <c r="L198">
        <f>IF(J198="","",IF(H198&lt;&gt;"",IF(J198&lt;=H198,"Oui","NON"),IF(K198&lt;=6,"Oui","NON")))</f>
        <v/>
      </c>
      <c r="M198" s="4" t="n"/>
      <c r="N198" s="4" t="n"/>
      <c r="O198" s="4" t="n"/>
      <c r="P198" s="4" t="n"/>
    </row>
    <row r="199">
      <c r="A199" s="4" t="n"/>
      <c r="B199" s="4" t="n"/>
      <c r="C199" s="6" t="n"/>
      <c r="D199" s="4" t="n"/>
      <c r="E199" s="4" t="n"/>
      <c r="F199" s="4" t="n"/>
      <c r="G199" s="6" t="n"/>
      <c r="H199" s="6" t="n"/>
      <c r="I199" s="6" t="n"/>
      <c r="J199" s="6" t="n"/>
      <c r="K199">
        <f>IF(OR(C199="",J199=""),"",NETWORKDAYS(C199,J199,Fériés!$A$2:$A$40)-1)</f>
        <v/>
      </c>
      <c r="L199">
        <f>IF(J199="","",IF(H199&lt;&gt;"",IF(J199&lt;=H199,"Oui","NON"),IF(K199&lt;=6,"Oui","NON")))</f>
        <v/>
      </c>
      <c r="M199" s="4" t="n"/>
      <c r="N199" s="4" t="n"/>
      <c r="O199" s="4" t="n"/>
      <c r="P199" s="4" t="n"/>
    </row>
    <row r="200">
      <c r="A200" s="4" t="n"/>
      <c r="B200" s="4" t="n"/>
      <c r="C200" s="6" t="n"/>
      <c r="D200" s="4" t="n"/>
      <c r="E200" s="4" t="n"/>
      <c r="F200" s="4" t="n"/>
      <c r="G200" s="6" t="n"/>
      <c r="H200" s="6" t="n"/>
      <c r="I200" s="6" t="n"/>
      <c r="J200" s="6" t="n"/>
      <c r="K200">
        <f>IF(OR(C200="",J200=""),"",NETWORKDAYS(C200,J200,Fériés!$A$2:$A$40)-1)</f>
        <v/>
      </c>
      <c r="L200">
        <f>IF(J200="","",IF(H200&lt;&gt;"",IF(J200&lt;=H200,"Oui","NON"),IF(K200&lt;=6,"Oui","NON")))</f>
        <v/>
      </c>
      <c r="M200" s="4" t="n"/>
      <c r="N200" s="4" t="n"/>
      <c r="O200" s="4" t="n"/>
      <c r="P200" s="4" t="n"/>
    </row>
    <row r="201">
      <c r="A201" s="4" t="n"/>
      <c r="B201" s="4" t="n"/>
      <c r="C201" s="6" t="n"/>
      <c r="D201" s="4" t="n"/>
      <c r="E201" s="4" t="n"/>
      <c r="F201" s="4" t="n"/>
      <c r="G201" s="6" t="n"/>
      <c r="H201" s="6" t="n"/>
      <c r="I201" s="6" t="n"/>
      <c r="J201" s="6" t="n"/>
      <c r="K201">
        <f>IF(OR(C201="",J201=""),"",NETWORKDAYS(C201,J201,Fériés!$A$2:$A$40)-1)</f>
        <v/>
      </c>
      <c r="L201">
        <f>IF(J201="","",IF(H201&lt;&gt;"",IF(J201&lt;=H201,"Oui","NON"),IF(K201&lt;=6,"Oui","NON")))</f>
        <v/>
      </c>
      <c r="M201" s="4" t="n"/>
      <c r="N201" s="4" t="n"/>
      <c r="O201" s="4" t="n"/>
      <c r="P201" s="4" t="n"/>
    </row>
    <row r="202">
      <c r="A202" s="4" t="n"/>
      <c r="B202" s="4" t="n"/>
      <c r="C202" s="6" t="n"/>
      <c r="D202" s="4" t="n"/>
      <c r="E202" s="4" t="n"/>
      <c r="F202" s="4" t="n"/>
      <c r="G202" s="6" t="n"/>
      <c r="H202" s="6" t="n"/>
      <c r="I202" s="6" t="n"/>
      <c r="J202" s="6" t="n"/>
      <c r="K202">
        <f>IF(OR(C202="",J202=""),"",NETWORKDAYS(C202,J202,Fériés!$A$2:$A$40)-1)</f>
        <v/>
      </c>
      <c r="L202">
        <f>IF(J202="","",IF(H202&lt;&gt;"",IF(J202&lt;=H202,"Oui","NON"),IF(K202&lt;=6,"Oui","NON")))</f>
        <v/>
      </c>
      <c r="M202" s="4" t="n"/>
      <c r="N202" s="4" t="n"/>
      <c r="O202" s="4" t="n"/>
      <c r="P202" s="4" t="n"/>
    </row>
    <row r="203">
      <c r="A203" s="4" t="n"/>
      <c r="B203" s="4" t="n"/>
      <c r="C203" s="6" t="n"/>
      <c r="D203" s="4" t="n"/>
      <c r="E203" s="4" t="n"/>
      <c r="F203" s="4" t="n"/>
      <c r="G203" s="6" t="n"/>
      <c r="H203" s="6" t="n"/>
      <c r="I203" s="6" t="n"/>
      <c r="J203" s="6" t="n"/>
      <c r="K203">
        <f>IF(OR(C203="",J203=""),"",NETWORKDAYS(C203,J203,Fériés!$A$2:$A$40)-1)</f>
        <v/>
      </c>
      <c r="L203">
        <f>IF(J203="","",IF(H203&lt;&gt;"",IF(J203&lt;=H203,"Oui","NON"),IF(K203&lt;=6,"Oui","NON")))</f>
        <v/>
      </c>
      <c r="M203" s="4" t="n"/>
      <c r="N203" s="4" t="n"/>
      <c r="O203" s="4" t="n"/>
      <c r="P203" s="4" t="n"/>
    </row>
    <row r="204">
      <c r="A204" s="4" t="n"/>
      <c r="B204" s="4" t="n"/>
      <c r="C204" s="6" t="n"/>
      <c r="D204" s="4" t="n"/>
      <c r="E204" s="4" t="n"/>
      <c r="F204" s="4" t="n"/>
      <c r="G204" s="6" t="n"/>
      <c r="H204" s="6" t="n"/>
      <c r="I204" s="6" t="n"/>
      <c r="J204" s="6" t="n"/>
      <c r="K204">
        <f>IF(OR(C204="",J204=""),"",NETWORKDAYS(C204,J204,Fériés!$A$2:$A$40)-1)</f>
        <v/>
      </c>
      <c r="L204">
        <f>IF(J204="","",IF(H204&lt;&gt;"",IF(J204&lt;=H204,"Oui","NON"),IF(K204&lt;=6,"Oui","NON")))</f>
        <v/>
      </c>
      <c r="M204" s="4" t="n"/>
      <c r="N204" s="4" t="n"/>
      <c r="O204" s="4" t="n"/>
      <c r="P204" s="4" t="n"/>
    </row>
    <row r="205">
      <c r="A205" s="4" t="n"/>
      <c r="B205" s="4" t="n"/>
      <c r="C205" s="6" t="n"/>
      <c r="D205" s="4" t="n"/>
      <c r="E205" s="4" t="n"/>
      <c r="F205" s="4" t="n"/>
      <c r="G205" s="6" t="n"/>
      <c r="H205" s="6" t="n"/>
      <c r="I205" s="6" t="n"/>
      <c r="J205" s="6" t="n"/>
      <c r="K205">
        <f>IF(OR(C205="",J205=""),"",NETWORKDAYS(C205,J205,Fériés!$A$2:$A$40)-1)</f>
        <v/>
      </c>
      <c r="L205">
        <f>IF(J205="","",IF(H205&lt;&gt;"",IF(J205&lt;=H205,"Oui","NON"),IF(K205&lt;=6,"Oui","NON")))</f>
        <v/>
      </c>
      <c r="M205" s="4" t="n"/>
      <c r="N205" s="4" t="n"/>
      <c r="O205" s="4" t="n"/>
      <c r="P205" s="4" t="n"/>
    </row>
    <row r="206">
      <c r="A206" s="4" t="n"/>
      <c r="B206" s="4" t="n"/>
      <c r="C206" s="6" t="n"/>
      <c r="D206" s="4" t="n"/>
      <c r="E206" s="4" t="n"/>
      <c r="F206" s="4" t="n"/>
      <c r="G206" s="6" t="n"/>
      <c r="H206" s="6" t="n"/>
      <c r="I206" s="6" t="n"/>
      <c r="J206" s="6" t="n"/>
      <c r="K206">
        <f>IF(OR(C206="",J206=""),"",NETWORKDAYS(C206,J206,Fériés!$A$2:$A$40)-1)</f>
        <v/>
      </c>
      <c r="L206">
        <f>IF(J206="","",IF(H206&lt;&gt;"",IF(J206&lt;=H206,"Oui","NON"),IF(K206&lt;=6,"Oui","NON")))</f>
        <v/>
      </c>
      <c r="M206" s="4" t="n"/>
      <c r="N206" s="4" t="n"/>
      <c r="O206" s="4" t="n"/>
      <c r="P206" s="4" t="n"/>
    </row>
    <row r="207">
      <c r="A207" s="4" t="n"/>
      <c r="B207" s="4" t="n"/>
      <c r="C207" s="6" t="n"/>
      <c r="D207" s="4" t="n"/>
      <c r="E207" s="4" t="n"/>
      <c r="F207" s="4" t="n"/>
      <c r="G207" s="6" t="n"/>
      <c r="H207" s="6" t="n"/>
      <c r="I207" s="6" t="n"/>
      <c r="J207" s="6" t="n"/>
      <c r="K207">
        <f>IF(OR(C207="",J207=""),"",NETWORKDAYS(C207,J207,Fériés!$A$2:$A$40)-1)</f>
        <v/>
      </c>
      <c r="L207">
        <f>IF(J207="","",IF(H207&lt;&gt;"",IF(J207&lt;=H207,"Oui","NON"),IF(K207&lt;=6,"Oui","NON")))</f>
        <v/>
      </c>
      <c r="M207" s="4" t="n"/>
      <c r="N207" s="4" t="n"/>
      <c r="O207" s="4" t="n"/>
      <c r="P207" s="4" t="n"/>
    </row>
    <row r="208">
      <c r="A208" s="4" t="n"/>
      <c r="B208" s="4" t="n"/>
      <c r="C208" s="6" t="n"/>
      <c r="D208" s="4" t="n"/>
      <c r="E208" s="4" t="n"/>
      <c r="F208" s="4" t="n"/>
      <c r="G208" s="6" t="n"/>
      <c r="H208" s="6" t="n"/>
      <c r="I208" s="6" t="n"/>
      <c r="J208" s="6" t="n"/>
      <c r="K208">
        <f>IF(OR(C208="",J208=""),"",NETWORKDAYS(C208,J208,Fériés!$A$2:$A$40)-1)</f>
        <v/>
      </c>
      <c r="L208">
        <f>IF(J208="","",IF(H208&lt;&gt;"",IF(J208&lt;=H208,"Oui","NON"),IF(K208&lt;=6,"Oui","NON")))</f>
        <v/>
      </c>
      <c r="M208" s="4" t="n"/>
      <c r="N208" s="4" t="n"/>
      <c r="O208" s="4" t="n"/>
      <c r="P208" s="4" t="n"/>
    </row>
    <row r="209">
      <c r="A209" s="4" t="n"/>
      <c r="B209" s="4" t="n"/>
      <c r="C209" s="6" t="n"/>
      <c r="D209" s="4" t="n"/>
      <c r="E209" s="4" t="n"/>
      <c r="F209" s="4" t="n"/>
      <c r="G209" s="6" t="n"/>
      <c r="H209" s="6" t="n"/>
      <c r="I209" s="6" t="n"/>
      <c r="J209" s="6" t="n"/>
      <c r="K209">
        <f>IF(OR(C209="",J209=""),"",NETWORKDAYS(C209,J209,Fériés!$A$2:$A$40)-1)</f>
        <v/>
      </c>
      <c r="L209">
        <f>IF(J209="","",IF(H209&lt;&gt;"",IF(J209&lt;=H209,"Oui","NON"),IF(K209&lt;=6,"Oui","NON")))</f>
        <v/>
      </c>
      <c r="M209" s="4" t="n"/>
      <c r="N209" s="4" t="n"/>
      <c r="O209" s="4" t="n"/>
      <c r="P209" s="4" t="n"/>
    </row>
    <row r="210">
      <c r="A210" s="4" t="n"/>
      <c r="B210" s="4" t="n"/>
      <c r="C210" s="6" t="n"/>
      <c r="D210" s="4" t="n"/>
      <c r="E210" s="4" t="n"/>
      <c r="F210" s="4" t="n"/>
      <c r="G210" s="6" t="n"/>
      <c r="H210" s="6" t="n"/>
      <c r="I210" s="6" t="n"/>
      <c r="J210" s="6" t="n"/>
      <c r="K210">
        <f>IF(OR(C210="",J210=""),"",NETWORKDAYS(C210,J210,Fériés!$A$2:$A$40)-1)</f>
        <v/>
      </c>
      <c r="L210">
        <f>IF(J210="","",IF(H210&lt;&gt;"",IF(J210&lt;=H210,"Oui","NON"),IF(K210&lt;=6,"Oui","NON")))</f>
        <v/>
      </c>
      <c r="M210" s="4" t="n"/>
      <c r="N210" s="4" t="n"/>
      <c r="O210" s="4" t="n"/>
      <c r="P210" s="4" t="n"/>
    </row>
    <row r="211">
      <c r="A211" s="4" t="n"/>
      <c r="B211" s="4" t="n"/>
      <c r="C211" s="6" t="n"/>
      <c r="D211" s="4" t="n"/>
      <c r="E211" s="4" t="n"/>
      <c r="F211" s="4" t="n"/>
      <c r="G211" s="6" t="n"/>
      <c r="H211" s="6" t="n"/>
      <c r="I211" s="6" t="n"/>
      <c r="J211" s="6" t="n"/>
      <c r="K211">
        <f>IF(OR(C211="",J211=""),"",NETWORKDAYS(C211,J211,Fériés!$A$2:$A$40)-1)</f>
        <v/>
      </c>
      <c r="L211">
        <f>IF(J211="","",IF(H211&lt;&gt;"",IF(J211&lt;=H211,"Oui","NON"),IF(K211&lt;=6,"Oui","NON")))</f>
        <v/>
      </c>
      <c r="M211" s="4" t="n"/>
      <c r="N211" s="4" t="n"/>
      <c r="O211" s="4" t="n"/>
      <c r="P211" s="4" t="n"/>
    </row>
    <row r="212">
      <c r="A212" s="4" t="n"/>
      <c r="B212" s="4" t="n"/>
      <c r="C212" s="6" t="n"/>
      <c r="D212" s="4" t="n"/>
      <c r="E212" s="4" t="n"/>
      <c r="F212" s="4" t="n"/>
      <c r="G212" s="6" t="n"/>
      <c r="H212" s="6" t="n"/>
      <c r="I212" s="6" t="n"/>
      <c r="J212" s="6" t="n"/>
      <c r="K212">
        <f>IF(OR(C212="",J212=""),"",NETWORKDAYS(C212,J212,Fériés!$A$2:$A$40)-1)</f>
        <v/>
      </c>
      <c r="L212">
        <f>IF(J212="","",IF(H212&lt;&gt;"",IF(J212&lt;=H212,"Oui","NON"),IF(K212&lt;=6,"Oui","NON")))</f>
        <v/>
      </c>
      <c r="M212" s="4" t="n"/>
      <c r="N212" s="4" t="n"/>
      <c r="O212" s="4" t="n"/>
      <c r="P212" s="4" t="n"/>
    </row>
    <row r="213">
      <c r="A213" s="4" t="n"/>
      <c r="B213" s="4" t="n"/>
      <c r="C213" s="6" t="n"/>
      <c r="D213" s="4" t="n"/>
      <c r="E213" s="4" t="n"/>
      <c r="F213" s="4" t="n"/>
      <c r="G213" s="6" t="n"/>
      <c r="H213" s="6" t="n"/>
      <c r="I213" s="6" t="n"/>
      <c r="J213" s="6" t="n"/>
      <c r="K213">
        <f>IF(OR(C213="",J213=""),"",NETWORKDAYS(C213,J213,Fériés!$A$2:$A$40)-1)</f>
        <v/>
      </c>
      <c r="L213">
        <f>IF(J213="","",IF(H213&lt;&gt;"",IF(J213&lt;=H213,"Oui","NON"),IF(K213&lt;=6,"Oui","NON")))</f>
        <v/>
      </c>
      <c r="M213" s="4" t="n"/>
      <c r="N213" s="4" t="n"/>
      <c r="O213" s="4" t="n"/>
      <c r="P213" s="4" t="n"/>
    </row>
    <row r="214">
      <c r="A214" s="4" t="n"/>
      <c r="B214" s="4" t="n"/>
      <c r="C214" s="6" t="n"/>
      <c r="D214" s="4" t="n"/>
      <c r="E214" s="4" t="n"/>
      <c r="F214" s="4" t="n"/>
      <c r="G214" s="6" t="n"/>
      <c r="H214" s="6" t="n"/>
      <c r="I214" s="6" t="n"/>
      <c r="J214" s="6" t="n"/>
      <c r="K214">
        <f>IF(OR(C214="",J214=""),"",NETWORKDAYS(C214,J214,Fériés!$A$2:$A$40)-1)</f>
        <v/>
      </c>
      <c r="L214">
        <f>IF(J214="","",IF(H214&lt;&gt;"",IF(J214&lt;=H214,"Oui","NON"),IF(K214&lt;=6,"Oui","NON")))</f>
        <v/>
      </c>
      <c r="M214" s="4" t="n"/>
      <c r="N214" s="4" t="n"/>
      <c r="O214" s="4" t="n"/>
      <c r="P214" s="4" t="n"/>
    </row>
    <row r="215">
      <c r="A215" s="4" t="n"/>
      <c r="B215" s="4" t="n"/>
      <c r="C215" s="6" t="n"/>
      <c r="D215" s="4" t="n"/>
      <c r="E215" s="4" t="n"/>
      <c r="F215" s="4" t="n"/>
      <c r="G215" s="6" t="n"/>
      <c r="H215" s="6" t="n"/>
      <c r="I215" s="6" t="n"/>
      <c r="J215" s="6" t="n"/>
      <c r="K215">
        <f>IF(OR(C215="",J215=""),"",NETWORKDAYS(C215,J215,Fériés!$A$2:$A$40)-1)</f>
        <v/>
      </c>
      <c r="L215">
        <f>IF(J215="","",IF(H215&lt;&gt;"",IF(J215&lt;=H215,"Oui","NON"),IF(K215&lt;=6,"Oui","NON")))</f>
        <v/>
      </c>
      <c r="M215" s="4" t="n"/>
      <c r="N215" s="4" t="n"/>
      <c r="O215" s="4" t="n"/>
      <c r="P215" s="4" t="n"/>
    </row>
    <row r="216">
      <c r="A216" s="4" t="n"/>
      <c r="B216" s="4" t="n"/>
      <c r="C216" s="6" t="n"/>
      <c r="D216" s="4" t="n"/>
      <c r="E216" s="4" t="n"/>
      <c r="F216" s="4" t="n"/>
      <c r="G216" s="6" t="n"/>
      <c r="H216" s="6" t="n"/>
      <c r="I216" s="6" t="n"/>
      <c r="J216" s="6" t="n"/>
      <c r="K216">
        <f>IF(OR(C216="",J216=""),"",NETWORKDAYS(C216,J216,Fériés!$A$2:$A$40)-1)</f>
        <v/>
      </c>
      <c r="L216">
        <f>IF(J216="","",IF(H216&lt;&gt;"",IF(J216&lt;=H216,"Oui","NON"),IF(K216&lt;=6,"Oui","NON")))</f>
        <v/>
      </c>
      <c r="M216" s="4" t="n"/>
      <c r="N216" s="4" t="n"/>
      <c r="O216" s="4" t="n"/>
      <c r="P216" s="4" t="n"/>
    </row>
    <row r="217">
      <c r="A217" s="4" t="n"/>
      <c r="B217" s="4" t="n"/>
      <c r="C217" s="6" t="n"/>
      <c r="D217" s="4" t="n"/>
      <c r="E217" s="4" t="n"/>
      <c r="F217" s="4" t="n"/>
      <c r="G217" s="6" t="n"/>
      <c r="H217" s="6" t="n"/>
      <c r="I217" s="6" t="n"/>
      <c r="J217" s="6" t="n"/>
      <c r="K217">
        <f>IF(OR(C217="",J217=""),"",NETWORKDAYS(C217,J217,Fériés!$A$2:$A$40)-1)</f>
        <v/>
      </c>
      <c r="L217">
        <f>IF(J217="","",IF(H217&lt;&gt;"",IF(J217&lt;=H217,"Oui","NON"),IF(K217&lt;=6,"Oui","NON")))</f>
        <v/>
      </c>
      <c r="M217" s="4" t="n"/>
      <c r="N217" s="4" t="n"/>
      <c r="O217" s="4" t="n"/>
      <c r="P217" s="4" t="n"/>
    </row>
    <row r="218">
      <c r="A218" s="4" t="n"/>
      <c r="B218" s="4" t="n"/>
      <c r="C218" s="6" t="n"/>
      <c r="D218" s="4" t="n"/>
      <c r="E218" s="4" t="n"/>
      <c r="F218" s="4" t="n"/>
      <c r="G218" s="6" t="n"/>
      <c r="H218" s="6" t="n"/>
      <c r="I218" s="6" t="n"/>
      <c r="J218" s="6" t="n"/>
      <c r="K218">
        <f>IF(OR(C218="",J218=""),"",NETWORKDAYS(C218,J218,Fériés!$A$2:$A$40)-1)</f>
        <v/>
      </c>
      <c r="L218">
        <f>IF(J218="","",IF(H218&lt;&gt;"",IF(J218&lt;=H218,"Oui","NON"),IF(K218&lt;=6,"Oui","NON")))</f>
        <v/>
      </c>
      <c r="M218" s="4" t="n"/>
      <c r="N218" s="4" t="n"/>
      <c r="O218" s="4" t="n"/>
      <c r="P218" s="4" t="n"/>
    </row>
    <row r="219">
      <c r="A219" s="4" t="n"/>
      <c r="B219" s="4" t="n"/>
      <c r="C219" s="6" t="n"/>
      <c r="D219" s="4" t="n"/>
      <c r="E219" s="4" t="n"/>
      <c r="F219" s="4" t="n"/>
      <c r="G219" s="6" t="n"/>
      <c r="H219" s="6" t="n"/>
      <c r="I219" s="6" t="n"/>
      <c r="J219" s="6" t="n"/>
      <c r="K219">
        <f>IF(OR(C219="",J219=""),"",NETWORKDAYS(C219,J219,Fériés!$A$2:$A$40)-1)</f>
        <v/>
      </c>
      <c r="L219">
        <f>IF(J219="","",IF(H219&lt;&gt;"",IF(J219&lt;=H219,"Oui","NON"),IF(K219&lt;=6,"Oui","NON")))</f>
        <v/>
      </c>
      <c r="M219" s="4" t="n"/>
      <c r="N219" s="4" t="n"/>
      <c r="O219" s="4" t="n"/>
      <c r="P219" s="4" t="n"/>
    </row>
    <row r="220">
      <c r="A220" s="4" t="n"/>
      <c r="B220" s="4" t="n"/>
      <c r="C220" s="6" t="n"/>
      <c r="D220" s="4" t="n"/>
      <c r="E220" s="4" t="n"/>
      <c r="F220" s="4" t="n"/>
      <c r="G220" s="6" t="n"/>
      <c r="H220" s="6" t="n"/>
      <c r="I220" s="6" t="n"/>
      <c r="J220" s="6" t="n"/>
      <c r="K220">
        <f>IF(OR(C220="",J220=""),"",NETWORKDAYS(C220,J220,Fériés!$A$2:$A$40)-1)</f>
        <v/>
      </c>
      <c r="L220">
        <f>IF(J220="","",IF(H220&lt;&gt;"",IF(J220&lt;=H220,"Oui","NON"),IF(K220&lt;=6,"Oui","NON")))</f>
        <v/>
      </c>
      <c r="M220" s="4" t="n"/>
      <c r="N220" s="4" t="n"/>
      <c r="O220" s="4" t="n"/>
      <c r="P220" s="4" t="n"/>
    </row>
    <row r="221">
      <c r="A221" s="4" t="n"/>
      <c r="B221" s="4" t="n"/>
      <c r="C221" s="6" t="n"/>
      <c r="D221" s="4" t="n"/>
      <c r="E221" s="4" t="n"/>
      <c r="F221" s="4" t="n"/>
      <c r="G221" s="6" t="n"/>
      <c r="H221" s="6" t="n"/>
      <c r="I221" s="6" t="n"/>
      <c r="J221" s="6" t="n"/>
      <c r="K221">
        <f>IF(OR(C221="",J221=""),"",NETWORKDAYS(C221,J221,Fériés!$A$2:$A$40)-1)</f>
        <v/>
      </c>
      <c r="L221">
        <f>IF(J221="","",IF(H221&lt;&gt;"",IF(J221&lt;=H221,"Oui","NON"),IF(K221&lt;=6,"Oui","NON")))</f>
        <v/>
      </c>
      <c r="M221" s="4" t="n"/>
      <c r="N221" s="4" t="n"/>
      <c r="O221" s="4" t="n"/>
      <c r="P221" s="4" t="n"/>
    </row>
    <row r="222">
      <c r="A222" s="4" t="n"/>
      <c r="B222" s="4" t="n"/>
      <c r="C222" s="6" t="n"/>
      <c r="D222" s="4" t="n"/>
      <c r="E222" s="4" t="n"/>
      <c r="F222" s="4" t="n"/>
      <c r="G222" s="6" t="n"/>
      <c r="H222" s="6" t="n"/>
      <c r="I222" s="6" t="n"/>
      <c r="J222" s="6" t="n"/>
      <c r="K222">
        <f>IF(OR(C222="",J222=""),"",NETWORKDAYS(C222,J222,Fériés!$A$2:$A$40)-1)</f>
        <v/>
      </c>
      <c r="L222">
        <f>IF(J222="","",IF(H222&lt;&gt;"",IF(J222&lt;=H222,"Oui","NON"),IF(K222&lt;=6,"Oui","NON")))</f>
        <v/>
      </c>
      <c r="M222" s="4" t="n"/>
      <c r="N222" s="4" t="n"/>
      <c r="O222" s="4" t="n"/>
      <c r="P222" s="4" t="n"/>
    </row>
    <row r="223">
      <c r="A223" s="4" t="n"/>
      <c r="B223" s="4" t="n"/>
      <c r="C223" s="6" t="n"/>
      <c r="D223" s="4" t="n"/>
      <c r="E223" s="4" t="n"/>
      <c r="F223" s="4" t="n"/>
      <c r="G223" s="6" t="n"/>
      <c r="H223" s="6" t="n"/>
      <c r="I223" s="6" t="n"/>
      <c r="J223" s="6" t="n"/>
      <c r="K223">
        <f>IF(OR(C223="",J223=""),"",NETWORKDAYS(C223,J223,Fériés!$A$2:$A$40)-1)</f>
        <v/>
      </c>
      <c r="L223">
        <f>IF(J223="","",IF(H223&lt;&gt;"",IF(J223&lt;=H223,"Oui","NON"),IF(K223&lt;=6,"Oui","NON")))</f>
        <v/>
      </c>
      <c r="M223" s="4" t="n"/>
      <c r="N223" s="4" t="n"/>
      <c r="O223" s="4" t="n"/>
      <c r="P223" s="4" t="n"/>
    </row>
    <row r="224">
      <c r="A224" s="4" t="n"/>
      <c r="B224" s="4" t="n"/>
      <c r="C224" s="6" t="n"/>
      <c r="D224" s="4" t="n"/>
      <c r="E224" s="4" t="n"/>
      <c r="F224" s="4" t="n"/>
      <c r="G224" s="6" t="n"/>
      <c r="H224" s="6" t="n"/>
      <c r="I224" s="6" t="n"/>
      <c r="J224" s="6" t="n"/>
      <c r="K224">
        <f>IF(OR(C224="",J224=""),"",NETWORKDAYS(C224,J224,Fériés!$A$2:$A$40)-1)</f>
        <v/>
      </c>
      <c r="L224">
        <f>IF(J224="","",IF(H224&lt;&gt;"",IF(J224&lt;=H224,"Oui","NON"),IF(K224&lt;=6,"Oui","NON")))</f>
        <v/>
      </c>
      <c r="M224" s="4" t="n"/>
      <c r="N224" s="4" t="n"/>
      <c r="O224" s="4" t="n"/>
      <c r="P224" s="4" t="n"/>
    </row>
    <row r="225">
      <c r="A225" s="4" t="n"/>
      <c r="B225" s="4" t="n"/>
      <c r="C225" s="6" t="n"/>
      <c r="D225" s="4" t="n"/>
      <c r="E225" s="4" t="n"/>
      <c r="F225" s="4" t="n"/>
      <c r="G225" s="6" t="n"/>
      <c r="H225" s="6" t="n"/>
      <c r="I225" s="6" t="n"/>
      <c r="J225" s="6" t="n"/>
      <c r="K225">
        <f>IF(OR(C225="",J225=""),"",NETWORKDAYS(C225,J225,Fériés!$A$2:$A$40)-1)</f>
        <v/>
      </c>
      <c r="L225">
        <f>IF(J225="","",IF(H225&lt;&gt;"",IF(J225&lt;=H225,"Oui","NON"),IF(K225&lt;=6,"Oui","NON")))</f>
        <v/>
      </c>
      <c r="M225" s="4" t="n"/>
      <c r="N225" s="4" t="n"/>
      <c r="O225" s="4" t="n"/>
      <c r="P225" s="4" t="n"/>
    </row>
    <row r="226">
      <c r="A226" s="4" t="n"/>
      <c r="B226" s="4" t="n"/>
      <c r="C226" s="6" t="n"/>
      <c r="D226" s="4" t="n"/>
      <c r="E226" s="4" t="n"/>
      <c r="F226" s="4" t="n"/>
      <c r="G226" s="6" t="n"/>
      <c r="H226" s="6" t="n"/>
      <c r="I226" s="6" t="n"/>
      <c r="J226" s="6" t="n"/>
      <c r="K226">
        <f>IF(OR(C226="",J226=""),"",NETWORKDAYS(C226,J226,Fériés!$A$2:$A$40)-1)</f>
        <v/>
      </c>
      <c r="L226">
        <f>IF(J226="","",IF(H226&lt;&gt;"",IF(J226&lt;=H226,"Oui","NON"),IF(K226&lt;=6,"Oui","NON")))</f>
        <v/>
      </c>
      <c r="M226" s="4" t="n"/>
      <c r="N226" s="4" t="n"/>
      <c r="O226" s="4" t="n"/>
      <c r="P226" s="4" t="n"/>
    </row>
    <row r="227">
      <c r="A227" s="4" t="n"/>
      <c r="B227" s="4" t="n"/>
      <c r="C227" s="6" t="n"/>
      <c r="D227" s="4" t="n"/>
      <c r="E227" s="4" t="n"/>
      <c r="F227" s="4" t="n"/>
      <c r="G227" s="6" t="n"/>
      <c r="H227" s="6" t="n"/>
      <c r="I227" s="6" t="n"/>
      <c r="J227" s="6" t="n"/>
      <c r="K227">
        <f>IF(OR(C227="",J227=""),"",NETWORKDAYS(C227,J227,Fériés!$A$2:$A$40)-1)</f>
        <v/>
      </c>
      <c r="L227">
        <f>IF(J227="","",IF(H227&lt;&gt;"",IF(J227&lt;=H227,"Oui","NON"),IF(K227&lt;=6,"Oui","NON")))</f>
        <v/>
      </c>
      <c r="M227" s="4" t="n"/>
      <c r="N227" s="4" t="n"/>
      <c r="O227" s="4" t="n"/>
      <c r="P227" s="4" t="n"/>
    </row>
    <row r="228">
      <c r="A228" s="4" t="n"/>
      <c r="B228" s="4" t="n"/>
      <c r="C228" s="6" t="n"/>
      <c r="D228" s="4" t="n"/>
      <c r="E228" s="4" t="n"/>
      <c r="F228" s="4" t="n"/>
      <c r="G228" s="6" t="n"/>
      <c r="H228" s="6" t="n"/>
      <c r="I228" s="6" t="n"/>
      <c r="J228" s="6" t="n"/>
      <c r="K228">
        <f>IF(OR(C228="",J228=""),"",NETWORKDAYS(C228,J228,Fériés!$A$2:$A$40)-1)</f>
        <v/>
      </c>
      <c r="L228">
        <f>IF(J228="","",IF(H228&lt;&gt;"",IF(J228&lt;=H228,"Oui","NON"),IF(K228&lt;=6,"Oui","NON")))</f>
        <v/>
      </c>
      <c r="M228" s="4" t="n"/>
      <c r="N228" s="4" t="n"/>
      <c r="O228" s="4" t="n"/>
      <c r="P228" s="4" t="n"/>
    </row>
    <row r="229">
      <c r="A229" s="4" t="n"/>
      <c r="B229" s="4" t="n"/>
      <c r="C229" s="6" t="n"/>
      <c r="D229" s="4" t="n"/>
      <c r="E229" s="4" t="n"/>
      <c r="F229" s="4" t="n"/>
      <c r="G229" s="6" t="n"/>
      <c r="H229" s="6" t="n"/>
      <c r="I229" s="6" t="n"/>
      <c r="J229" s="6" t="n"/>
      <c r="K229">
        <f>IF(OR(C229="",J229=""),"",NETWORKDAYS(C229,J229,Fériés!$A$2:$A$40)-1)</f>
        <v/>
      </c>
      <c r="L229">
        <f>IF(J229="","",IF(H229&lt;&gt;"",IF(J229&lt;=H229,"Oui","NON"),IF(K229&lt;=6,"Oui","NON")))</f>
        <v/>
      </c>
      <c r="M229" s="4" t="n"/>
      <c r="N229" s="4" t="n"/>
      <c r="O229" s="4" t="n"/>
      <c r="P229" s="4" t="n"/>
    </row>
    <row r="230">
      <c r="A230" s="4" t="n"/>
      <c r="B230" s="4" t="n"/>
      <c r="C230" s="6" t="n"/>
      <c r="D230" s="4" t="n"/>
      <c r="E230" s="4" t="n"/>
      <c r="F230" s="4" t="n"/>
      <c r="G230" s="6" t="n"/>
      <c r="H230" s="6" t="n"/>
      <c r="I230" s="6" t="n"/>
      <c r="J230" s="6" t="n"/>
      <c r="K230">
        <f>IF(OR(C230="",J230=""),"",NETWORKDAYS(C230,J230,Fériés!$A$2:$A$40)-1)</f>
        <v/>
      </c>
      <c r="L230">
        <f>IF(J230="","",IF(H230&lt;&gt;"",IF(J230&lt;=H230,"Oui","NON"),IF(K230&lt;=6,"Oui","NON")))</f>
        <v/>
      </c>
      <c r="M230" s="4" t="n"/>
      <c r="N230" s="4" t="n"/>
      <c r="O230" s="4" t="n"/>
      <c r="P230" s="4" t="n"/>
    </row>
    <row r="231">
      <c r="A231" s="4" t="n"/>
      <c r="B231" s="4" t="n"/>
      <c r="C231" s="6" t="n"/>
      <c r="D231" s="4" t="n"/>
      <c r="E231" s="4" t="n"/>
      <c r="F231" s="4" t="n"/>
      <c r="G231" s="6" t="n"/>
      <c r="H231" s="6" t="n"/>
      <c r="I231" s="6" t="n"/>
      <c r="J231" s="6" t="n"/>
      <c r="K231">
        <f>IF(OR(C231="",J231=""),"",NETWORKDAYS(C231,J231,Fériés!$A$2:$A$40)-1)</f>
        <v/>
      </c>
      <c r="L231">
        <f>IF(J231="","",IF(H231&lt;&gt;"",IF(J231&lt;=H231,"Oui","NON"),IF(K231&lt;=6,"Oui","NON")))</f>
        <v/>
      </c>
      <c r="M231" s="4" t="n"/>
      <c r="N231" s="4" t="n"/>
      <c r="O231" s="4" t="n"/>
      <c r="P231" s="4" t="n"/>
    </row>
    <row r="232">
      <c r="A232" s="4" t="n"/>
      <c r="B232" s="4" t="n"/>
      <c r="C232" s="6" t="n"/>
      <c r="D232" s="4" t="n"/>
      <c r="E232" s="4" t="n"/>
      <c r="F232" s="4" t="n"/>
      <c r="G232" s="6" t="n"/>
      <c r="H232" s="6" t="n"/>
      <c r="I232" s="6" t="n"/>
      <c r="J232" s="6" t="n"/>
      <c r="K232">
        <f>IF(OR(C232="",J232=""),"",NETWORKDAYS(C232,J232,Fériés!$A$2:$A$40)-1)</f>
        <v/>
      </c>
      <c r="L232">
        <f>IF(J232="","",IF(H232&lt;&gt;"",IF(J232&lt;=H232,"Oui","NON"),IF(K232&lt;=6,"Oui","NON")))</f>
        <v/>
      </c>
      <c r="M232" s="4" t="n"/>
      <c r="N232" s="4" t="n"/>
      <c r="O232" s="4" t="n"/>
      <c r="P232" s="4" t="n"/>
    </row>
    <row r="233">
      <c r="A233" s="4" t="n"/>
      <c r="B233" s="4" t="n"/>
      <c r="C233" s="6" t="n"/>
      <c r="D233" s="4" t="n"/>
      <c r="E233" s="4" t="n"/>
      <c r="F233" s="4" t="n"/>
      <c r="G233" s="6" t="n"/>
      <c r="H233" s="6" t="n"/>
      <c r="I233" s="6" t="n"/>
      <c r="J233" s="6" t="n"/>
      <c r="K233">
        <f>IF(OR(C233="",J233=""),"",NETWORKDAYS(C233,J233,Fériés!$A$2:$A$40)-1)</f>
        <v/>
      </c>
      <c r="L233">
        <f>IF(J233="","",IF(H233&lt;&gt;"",IF(J233&lt;=H233,"Oui","NON"),IF(K233&lt;=6,"Oui","NON")))</f>
        <v/>
      </c>
      <c r="M233" s="4" t="n"/>
      <c r="N233" s="4" t="n"/>
      <c r="O233" s="4" t="n"/>
      <c r="P233" s="4" t="n"/>
    </row>
    <row r="234">
      <c r="A234" s="4" t="n"/>
      <c r="B234" s="4" t="n"/>
      <c r="C234" s="6" t="n"/>
      <c r="D234" s="4" t="n"/>
      <c r="E234" s="4" t="n"/>
      <c r="F234" s="4" t="n"/>
      <c r="G234" s="6" t="n"/>
      <c r="H234" s="6" t="n"/>
      <c r="I234" s="6" t="n"/>
      <c r="J234" s="6" t="n"/>
      <c r="K234">
        <f>IF(OR(C234="",J234=""),"",NETWORKDAYS(C234,J234,Fériés!$A$2:$A$40)-1)</f>
        <v/>
      </c>
      <c r="L234">
        <f>IF(J234="","",IF(H234&lt;&gt;"",IF(J234&lt;=H234,"Oui","NON"),IF(K234&lt;=6,"Oui","NON")))</f>
        <v/>
      </c>
      <c r="M234" s="4" t="n"/>
      <c r="N234" s="4" t="n"/>
      <c r="O234" s="4" t="n"/>
      <c r="P234" s="4" t="n"/>
    </row>
    <row r="235">
      <c r="A235" s="4" t="n"/>
      <c r="B235" s="4" t="n"/>
      <c r="C235" s="6" t="n"/>
      <c r="D235" s="4" t="n"/>
      <c r="E235" s="4" t="n"/>
      <c r="F235" s="4" t="n"/>
      <c r="G235" s="6" t="n"/>
      <c r="H235" s="6" t="n"/>
      <c r="I235" s="6" t="n"/>
      <c r="J235" s="6" t="n"/>
      <c r="K235">
        <f>IF(OR(C235="",J235=""),"",NETWORKDAYS(C235,J235,Fériés!$A$2:$A$40)-1)</f>
        <v/>
      </c>
      <c r="L235">
        <f>IF(J235="","",IF(H235&lt;&gt;"",IF(J235&lt;=H235,"Oui","NON"),IF(K235&lt;=6,"Oui","NON")))</f>
        <v/>
      </c>
      <c r="M235" s="4" t="n"/>
      <c r="N235" s="4" t="n"/>
      <c r="O235" s="4" t="n"/>
      <c r="P235" s="4" t="n"/>
    </row>
    <row r="236">
      <c r="A236" s="4" t="n"/>
      <c r="B236" s="4" t="n"/>
      <c r="C236" s="6" t="n"/>
      <c r="D236" s="4" t="n"/>
      <c r="E236" s="4" t="n"/>
      <c r="F236" s="4" t="n"/>
      <c r="G236" s="6" t="n"/>
      <c r="H236" s="6" t="n"/>
      <c r="I236" s="6" t="n"/>
      <c r="J236" s="6" t="n"/>
      <c r="K236">
        <f>IF(OR(C236="",J236=""),"",NETWORKDAYS(C236,J236,Fériés!$A$2:$A$40)-1)</f>
        <v/>
      </c>
      <c r="L236">
        <f>IF(J236="","",IF(H236&lt;&gt;"",IF(J236&lt;=H236,"Oui","NON"),IF(K236&lt;=6,"Oui","NON")))</f>
        <v/>
      </c>
      <c r="M236" s="4" t="n"/>
      <c r="N236" s="4" t="n"/>
      <c r="O236" s="4" t="n"/>
      <c r="P236" s="4" t="n"/>
    </row>
    <row r="237">
      <c r="A237" s="4" t="n"/>
      <c r="B237" s="4" t="n"/>
      <c r="C237" s="6" t="n"/>
      <c r="D237" s="4" t="n"/>
      <c r="E237" s="4" t="n"/>
      <c r="F237" s="4" t="n"/>
      <c r="G237" s="6" t="n"/>
      <c r="H237" s="6" t="n"/>
      <c r="I237" s="6" t="n"/>
      <c r="J237" s="6" t="n"/>
      <c r="K237">
        <f>IF(OR(C237="",J237=""),"",NETWORKDAYS(C237,J237,Fériés!$A$2:$A$40)-1)</f>
        <v/>
      </c>
      <c r="L237">
        <f>IF(J237="","",IF(H237&lt;&gt;"",IF(J237&lt;=H237,"Oui","NON"),IF(K237&lt;=6,"Oui","NON")))</f>
        <v/>
      </c>
      <c r="M237" s="4" t="n"/>
      <c r="N237" s="4" t="n"/>
      <c r="O237" s="4" t="n"/>
      <c r="P237" s="4" t="n"/>
    </row>
    <row r="238">
      <c r="A238" s="4" t="n"/>
      <c r="B238" s="4" t="n"/>
      <c r="C238" s="6" t="n"/>
      <c r="D238" s="4" t="n"/>
      <c r="E238" s="4" t="n"/>
      <c r="F238" s="4" t="n"/>
      <c r="G238" s="6" t="n"/>
      <c r="H238" s="6" t="n"/>
      <c r="I238" s="6" t="n"/>
      <c r="J238" s="6" t="n"/>
      <c r="K238">
        <f>IF(OR(C238="",J238=""),"",NETWORKDAYS(C238,J238,Fériés!$A$2:$A$40)-1)</f>
        <v/>
      </c>
      <c r="L238">
        <f>IF(J238="","",IF(H238&lt;&gt;"",IF(J238&lt;=H238,"Oui","NON"),IF(K238&lt;=6,"Oui","NON")))</f>
        <v/>
      </c>
      <c r="M238" s="4" t="n"/>
      <c r="N238" s="4" t="n"/>
      <c r="O238" s="4" t="n"/>
      <c r="P238" s="4" t="n"/>
    </row>
    <row r="239">
      <c r="A239" s="4" t="n"/>
      <c r="B239" s="4" t="n"/>
      <c r="C239" s="6" t="n"/>
      <c r="D239" s="4" t="n"/>
      <c r="E239" s="4" t="n"/>
      <c r="F239" s="4" t="n"/>
      <c r="G239" s="6" t="n"/>
      <c r="H239" s="6" t="n"/>
      <c r="I239" s="6" t="n"/>
      <c r="J239" s="6" t="n"/>
      <c r="K239">
        <f>IF(OR(C239="",J239=""),"",NETWORKDAYS(C239,J239,Fériés!$A$2:$A$40)-1)</f>
        <v/>
      </c>
      <c r="L239">
        <f>IF(J239="","",IF(H239&lt;&gt;"",IF(J239&lt;=H239,"Oui","NON"),IF(K239&lt;=6,"Oui","NON")))</f>
        <v/>
      </c>
      <c r="M239" s="4" t="n"/>
      <c r="N239" s="4" t="n"/>
      <c r="O239" s="4" t="n"/>
      <c r="P239" s="4" t="n"/>
    </row>
    <row r="240">
      <c r="A240" s="4" t="n"/>
      <c r="B240" s="4" t="n"/>
      <c r="C240" s="6" t="n"/>
      <c r="D240" s="4" t="n"/>
      <c r="E240" s="4" t="n"/>
      <c r="F240" s="4" t="n"/>
      <c r="G240" s="6" t="n"/>
      <c r="H240" s="6" t="n"/>
      <c r="I240" s="6" t="n"/>
      <c r="J240" s="6" t="n"/>
      <c r="K240">
        <f>IF(OR(C240="",J240=""),"",NETWORKDAYS(C240,J240,Fériés!$A$2:$A$40)-1)</f>
        <v/>
      </c>
      <c r="L240">
        <f>IF(J240="","",IF(H240&lt;&gt;"",IF(J240&lt;=H240,"Oui","NON"),IF(K240&lt;=6,"Oui","NON")))</f>
        <v/>
      </c>
      <c r="M240" s="4" t="n"/>
      <c r="N240" s="4" t="n"/>
      <c r="O240" s="4" t="n"/>
      <c r="P240" s="4" t="n"/>
    </row>
    <row r="241">
      <c r="A241" s="4" t="n"/>
      <c r="B241" s="4" t="n"/>
      <c r="C241" s="6" t="n"/>
      <c r="D241" s="4" t="n"/>
      <c r="E241" s="4" t="n"/>
      <c r="F241" s="4" t="n"/>
      <c r="G241" s="6" t="n"/>
      <c r="H241" s="6" t="n"/>
      <c r="I241" s="6" t="n"/>
      <c r="J241" s="6" t="n"/>
      <c r="K241">
        <f>IF(OR(C241="",J241=""),"",NETWORKDAYS(C241,J241,Fériés!$A$2:$A$40)-1)</f>
        <v/>
      </c>
      <c r="L241">
        <f>IF(J241="","",IF(H241&lt;&gt;"",IF(J241&lt;=H241,"Oui","NON"),IF(K241&lt;=6,"Oui","NON")))</f>
        <v/>
      </c>
      <c r="M241" s="4" t="n"/>
      <c r="N241" s="4" t="n"/>
      <c r="O241" s="4" t="n"/>
      <c r="P241" s="4" t="n"/>
    </row>
    <row r="242">
      <c r="A242" s="4" t="n"/>
      <c r="B242" s="4" t="n"/>
      <c r="C242" s="6" t="n"/>
      <c r="D242" s="4" t="n"/>
      <c r="E242" s="4" t="n"/>
      <c r="F242" s="4" t="n"/>
      <c r="G242" s="6" t="n"/>
      <c r="H242" s="6" t="n"/>
      <c r="I242" s="6" t="n"/>
      <c r="J242" s="6" t="n"/>
      <c r="K242">
        <f>IF(OR(C242="",J242=""),"",NETWORKDAYS(C242,J242,Fériés!$A$2:$A$40)-1)</f>
        <v/>
      </c>
      <c r="L242">
        <f>IF(J242="","",IF(H242&lt;&gt;"",IF(J242&lt;=H242,"Oui","NON"),IF(K242&lt;=6,"Oui","NON")))</f>
        <v/>
      </c>
      <c r="M242" s="4" t="n"/>
      <c r="N242" s="4" t="n"/>
      <c r="O242" s="4" t="n"/>
      <c r="P242" s="4" t="n"/>
    </row>
    <row r="243">
      <c r="A243" s="4" t="n"/>
      <c r="B243" s="4" t="n"/>
      <c r="C243" s="6" t="n"/>
      <c r="D243" s="4" t="n"/>
      <c r="E243" s="4" t="n"/>
      <c r="F243" s="4" t="n"/>
      <c r="G243" s="6" t="n"/>
      <c r="H243" s="6" t="n"/>
      <c r="I243" s="6" t="n"/>
      <c r="J243" s="6" t="n"/>
      <c r="K243">
        <f>IF(OR(C243="",J243=""),"",NETWORKDAYS(C243,J243,Fériés!$A$2:$A$40)-1)</f>
        <v/>
      </c>
      <c r="L243">
        <f>IF(J243="","",IF(H243&lt;&gt;"",IF(J243&lt;=H243,"Oui","NON"),IF(K243&lt;=6,"Oui","NON")))</f>
        <v/>
      </c>
      <c r="M243" s="4" t="n"/>
      <c r="N243" s="4" t="n"/>
      <c r="O243" s="4" t="n"/>
      <c r="P243" s="4" t="n"/>
    </row>
    <row r="244">
      <c r="A244" s="4" t="n"/>
      <c r="B244" s="4" t="n"/>
      <c r="C244" s="6" t="n"/>
      <c r="D244" s="4" t="n"/>
      <c r="E244" s="4" t="n"/>
      <c r="F244" s="4" t="n"/>
      <c r="G244" s="6" t="n"/>
      <c r="H244" s="6" t="n"/>
      <c r="I244" s="6" t="n"/>
      <c r="J244" s="6" t="n"/>
      <c r="K244">
        <f>IF(OR(C244="",J244=""),"",NETWORKDAYS(C244,J244,Fériés!$A$2:$A$40)-1)</f>
        <v/>
      </c>
      <c r="L244">
        <f>IF(J244="","",IF(H244&lt;&gt;"",IF(J244&lt;=H244,"Oui","NON"),IF(K244&lt;=6,"Oui","NON")))</f>
        <v/>
      </c>
      <c r="M244" s="4" t="n"/>
      <c r="N244" s="4" t="n"/>
      <c r="O244" s="4" t="n"/>
      <c r="P244" s="4" t="n"/>
    </row>
    <row r="245">
      <c r="A245" s="4" t="n"/>
      <c r="B245" s="4" t="n"/>
      <c r="C245" s="6" t="n"/>
      <c r="D245" s="4" t="n"/>
      <c r="E245" s="4" t="n"/>
      <c r="F245" s="4" t="n"/>
      <c r="G245" s="6" t="n"/>
      <c r="H245" s="6" t="n"/>
      <c r="I245" s="6" t="n"/>
      <c r="J245" s="6" t="n"/>
      <c r="K245">
        <f>IF(OR(C245="",J245=""),"",NETWORKDAYS(C245,J245,Fériés!$A$2:$A$40)-1)</f>
        <v/>
      </c>
      <c r="L245">
        <f>IF(J245="","",IF(H245&lt;&gt;"",IF(J245&lt;=H245,"Oui","NON"),IF(K245&lt;=6,"Oui","NON")))</f>
        <v/>
      </c>
      <c r="M245" s="4" t="n"/>
      <c r="N245" s="4" t="n"/>
      <c r="O245" s="4" t="n"/>
      <c r="P245" s="4" t="n"/>
    </row>
    <row r="246">
      <c r="A246" s="4" t="n"/>
      <c r="B246" s="4" t="n"/>
      <c r="C246" s="6" t="n"/>
      <c r="D246" s="4" t="n"/>
      <c r="E246" s="4" t="n"/>
      <c r="F246" s="4" t="n"/>
      <c r="G246" s="6" t="n"/>
      <c r="H246" s="6" t="n"/>
      <c r="I246" s="6" t="n"/>
      <c r="J246" s="6" t="n"/>
      <c r="K246">
        <f>IF(OR(C246="",J246=""),"",NETWORKDAYS(C246,J246,Fériés!$A$2:$A$40)-1)</f>
        <v/>
      </c>
      <c r="L246">
        <f>IF(J246="","",IF(H246&lt;&gt;"",IF(J246&lt;=H246,"Oui","NON"),IF(K246&lt;=6,"Oui","NON")))</f>
        <v/>
      </c>
      <c r="M246" s="4" t="n"/>
      <c r="N246" s="4" t="n"/>
      <c r="O246" s="4" t="n"/>
      <c r="P246" s="4" t="n"/>
    </row>
    <row r="247">
      <c r="A247" s="4" t="n"/>
      <c r="B247" s="4" t="n"/>
      <c r="C247" s="6" t="n"/>
      <c r="D247" s="4" t="n"/>
      <c r="E247" s="4" t="n"/>
      <c r="F247" s="4" t="n"/>
      <c r="G247" s="6" t="n"/>
      <c r="H247" s="6" t="n"/>
      <c r="I247" s="6" t="n"/>
      <c r="J247" s="6" t="n"/>
      <c r="K247">
        <f>IF(OR(C247="",J247=""),"",NETWORKDAYS(C247,J247,Fériés!$A$2:$A$40)-1)</f>
        <v/>
      </c>
      <c r="L247">
        <f>IF(J247="","",IF(H247&lt;&gt;"",IF(J247&lt;=H247,"Oui","NON"),IF(K247&lt;=6,"Oui","NON")))</f>
        <v/>
      </c>
      <c r="M247" s="4" t="n"/>
      <c r="N247" s="4" t="n"/>
      <c r="O247" s="4" t="n"/>
      <c r="P247" s="4" t="n"/>
    </row>
    <row r="248">
      <c r="A248" s="4" t="n"/>
      <c r="B248" s="4" t="n"/>
      <c r="C248" s="6" t="n"/>
      <c r="D248" s="4" t="n"/>
      <c r="E248" s="4" t="n"/>
      <c r="F248" s="4" t="n"/>
      <c r="G248" s="6" t="n"/>
      <c r="H248" s="6" t="n"/>
      <c r="I248" s="6" t="n"/>
      <c r="J248" s="6" t="n"/>
      <c r="K248">
        <f>IF(OR(C248="",J248=""),"",NETWORKDAYS(C248,J248,Fériés!$A$2:$A$40)-1)</f>
        <v/>
      </c>
      <c r="L248">
        <f>IF(J248="","",IF(H248&lt;&gt;"",IF(J248&lt;=H248,"Oui","NON"),IF(K248&lt;=6,"Oui","NON")))</f>
        <v/>
      </c>
      <c r="M248" s="4" t="n"/>
      <c r="N248" s="4" t="n"/>
      <c r="O248" s="4" t="n"/>
      <c r="P248" s="4" t="n"/>
    </row>
    <row r="249">
      <c r="A249" s="4" t="n"/>
      <c r="B249" s="4" t="n"/>
      <c r="C249" s="6" t="n"/>
      <c r="D249" s="4" t="n"/>
      <c r="E249" s="4" t="n"/>
      <c r="F249" s="4" t="n"/>
      <c r="G249" s="6" t="n"/>
      <c r="H249" s="6" t="n"/>
      <c r="I249" s="6" t="n"/>
      <c r="J249" s="6" t="n"/>
      <c r="K249">
        <f>IF(OR(C249="",J249=""),"",NETWORKDAYS(C249,J249,Fériés!$A$2:$A$40)-1)</f>
        <v/>
      </c>
      <c r="L249">
        <f>IF(J249="","",IF(H249&lt;&gt;"",IF(J249&lt;=H249,"Oui","NON"),IF(K249&lt;=6,"Oui","NON")))</f>
        <v/>
      </c>
      <c r="M249" s="4" t="n"/>
      <c r="N249" s="4" t="n"/>
      <c r="O249" s="4" t="n"/>
      <c r="P249" s="4" t="n"/>
    </row>
    <row r="250">
      <c r="A250" s="4" t="n"/>
      <c r="B250" s="4" t="n"/>
      <c r="C250" s="6" t="n"/>
      <c r="D250" s="4" t="n"/>
      <c r="E250" s="4" t="n"/>
      <c r="F250" s="4" t="n"/>
      <c r="G250" s="6" t="n"/>
      <c r="H250" s="6" t="n"/>
      <c r="I250" s="6" t="n"/>
      <c r="J250" s="6" t="n"/>
      <c r="K250">
        <f>IF(OR(C250="",J250=""),"",NETWORKDAYS(C250,J250,Fériés!$A$2:$A$40)-1)</f>
        <v/>
      </c>
      <c r="L250">
        <f>IF(J250="","",IF(H250&lt;&gt;"",IF(J250&lt;=H250,"Oui","NON"),IF(K250&lt;=6,"Oui","NON")))</f>
        <v/>
      </c>
      <c r="M250" s="4" t="n"/>
      <c r="N250" s="4" t="n"/>
      <c r="O250" s="4" t="n"/>
      <c r="P250" s="4" t="n"/>
    </row>
    <row r="251">
      <c r="A251" s="4" t="n"/>
      <c r="B251" s="4" t="n"/>
      <c r="C251" s="6" t="n"/>
      <c r="D251" s="4" t="n"/>
      <c r="E251" s="4" t="n"/>
      <c r="F251" s="4" t="n"/>
      <c r="G251" s="6" t="n"/>
      <c r="H251" s="6" t="n"/>
      <c r="I251" s="6" t="n"/>
      <c r="J251" s="6" t="n"/>
      <c r="K251">
        <f>IF(OR(C251="",J251=""),"",NETWORKDAYS(C251,J251,Fériés!$A$2:$A$40)-1)</f>
        <v/>
      </c>
      <c r="L251">
        <f>IF(J251="","",IF(H251&lt;&gt;"",IF(J251&lt;=H251,"Oui","NON"),IF(K251&lt;=6,"Oui","NON")))</f>
        <v/>
      </c>
      <c r="M251" s="4" t="n"/>
      <c r="N251" s="4" t="n"/>
      <c r="O251" s="4" t="n"/>
      <c r="P251" s="4" t="n"/>
    </row>
    <row r="252">
      <c r="A252" s="4" t="n"/>
      <c r="B252" s="4" t="n"/>
      <c r="C252" s="6" t="n"/>
      <c r="D252" s="4" t="n"/>
      <c r="E252" s="4" t="n"/>
      <c r="F252" s="4" t="n"/>
      <c r="G252" s="6" t="n"/>
      <c r="H252" s="6" t="n"/>
      <c r="I252" s="6" t="n"/>
      <c r="J252" s="6" t="n"/>
      <c r="K252">
        <f>IF(OR(C252="",J252=""),"",NETWORKDAYS(C252,J252,Fériés!$A$2:$A$40)-1)</f>
        <v/>
      </c>
      <c r="L252">
        <f>IF(J252="","",IF(H252&lt;&gt;"",IF(J252&lt;=H252,"Oui","NON"),IF(K252&lt;=6,"Oui","NON")))</f>
        <v/>
      </c>
      <c r="M252" s="4" t="n"/>
      <c r="N252" s="4" t="n"/>
      <c r="O252" s="4" t="n"/>
      <c r="P252" s="4" t="n"/>
    </row>
    <row r="253">
      <c r="A253" s="4" t="n"/>
      <c r="B253" s="4" t="n"/>
      <c r="C253" s="6" t="n"/>
      <c r="D253" s="4" t="n"/>
      <c r="E253" s="4" t="n"/>
      <c r="F253" s="4" t="n"/>
      <c r="G253" s="6" t="n"/>
      <c r="H253" s="6" t="n"/>
      <c r="I253" s="6" t="n"/>
      <c r="J253" s="6" t="n"/>
      <c r="K253">
        <f>IF(OR(C253="",J253=""),"",NETWORKDAYS(C253,J253,Fériés!$A$2:$A$40)-1)</f>
        <v/>
      </c>
      <c r="L253">
        <f>IF(J253="","",IF(H253&lt;&gt;"",IF(J253&lt;=H253,"Oui","NON"),IF(K253&lt;=6,"Oui","NON")))</f>
        <v/>
      </c>
      <c r="M253" s="4" t="n"/>
      <c r="N253" s="4" t="n"/>
      <c r="O253" s="4" t="n"/>
      <c r="P253" s="4" t="n"/>
    </row>
    <row r="254">
      <c r="A254" s="4" t="n"/>
      <c r="B254" s="4" t="n"/>
      <c r="C254" s="6" t="n"/>
      <c r="D254" s="4" t="n"/>
      <c r="E254" s="4" t="n"/>
      <c r="F254" s="4" t="n"/>
      <c r="G254" s="6" t="n"/>
      <c r="H254" s="6" t="n"/>
      <c r="I254" s="6" t="n"/>
      <c r="J254" s="6" t="n"/>
      <c r="K254">
        <f>IF(OR(C254="",J254=""),"",NETWORKDAYS(C254,J254,Fériés!$A$2:$A$40)-1)</f>
        <v/>
      </c>
      <c r="L254">
        <f>IF(J254="","",IF(H254&lt;&gt;"",IF(J254&lt;=H254,"Oui","NON"),IF(K254&lt;=6,"Oui","NON")))</f>
        <v/>
      </c>
      <c r="M254" s="4" t="n"/>
      <c r="N254" s="4" t="n"/>
      <c r="O254" s="4" t="n"/>
      <c r="P254" s="4" t="n"/>
    </row>
    <row r="255">
      <c r="A255" s="4" t="n"/>
      <c r="B255" s="4" t="n"/>
      <c r="C255" s="6" t="n"/>
      <c r="D255" s="4" t="n"/>
      <c r="E255" s="4" t="n"/>
      <c r="F255" s="4" t="n"/>
      <c r="G255" s="6" t="n"/>
      <c r="H255" s="6" t="n"/>
      <c r="I255" s="6" t="n"/>
      <c r="J255" s="6" t="n"/>
      <c r="K255">
        <f>IF(OR(C255="",J255=""),"",NETWORKDAYS(C255,J255,Fériés!$A$2:$A$40)-1)</f>
        <v/>
      </c>
      <c r="L255">
        <f>IF(J255="","",IF(H255&lt;&gt;"",IF(J255&lt;=H255,"Oui","NON"),IF(K255&lt;=6,"Oui","NON")))</f>
        <v/>
      </c>
      <c r="M255" s="4" t="n"/>
      <c r="N255" s="4" t="n"/>
      <c r="O255" s="4" t="n"/>
      <c r="P255" s="4" t="n"/>
    </row>
    <row r="256">
      <c r="A256" s="4" t="n"/>
      <c r="B256" s="4" t="n"/>
      <c r="C256" s="6" t="n"/>
      <c r="D256" s="4" t="n"/>
      <c r="E256" s="4" t="n"/>
      <c r="F256" s="4" t="n"/>
      <c r="G256" s="6" t="n"/>
      <c r="H256" s="6" t="n"/>
      <c r="I256" s="6" t="n"/>
      <c r="J256" s="6" t="n"/>
      <c r="K256">
        <f>IF(OR(C256="",J256=""),"",NETWORKDAYS(C256,J256,Fériés!$A$2:$A$40)-1)</f>
        <v/>
      </c>
      <c r="L256">
        <f>IF(J256="","",IF(H256&lt;&gt;"",IF(J256&lt;=H256,"Oui","NON"),IF(K256&lt;=6,"Oui","NON")))</f>
        <v/>
      </c>
      <c r="M256" s="4" t="n"/>
      <c r="N256" s="4" t="n"/>
      <c r="O256" s="4" t="n"/>
      <c r="P256" s="4" t="n"/>
    </row>
    <row r="257">
      <c r="A257" s="4" t="n"/>
      <c r="B257" s="4" t="n"/>
      <c r="C257" s="6" t="n"/>
      <c r="D257" s="4" t="n"/>
      <c r="E257" s="4" t="n"/>
      <c r="F257" s="4" t="n"/>
      <c r="G257" s="6" t="n"/>
      <c r="H257" s="6" t="n"/>
      <c r="I257" s="6" t="n"/>
      <c r="J257" s="6" t="n"/>
      <c r="K257">
        <f>IF(OR(C257="",J257=""),"",NETWORKDAYS(C257,J257,Fériés!$A$2:$A$40)-1)</f>
        <v/>
      </c>
      <c r="L257">
        <f>IF(J257="","",IF(H257&lt;&gt;"",IF(J257&lt;=H257,"Oui","NON"),IF(K257&lt;=6,"Oui","NON")))</f>
        <v/>
      </c>
      <c r="M257" s="4" t="n"/>
      <c r="N257" s="4" t="n"/>
      <c r="O257" s="4" t="n"/>
      <c r="P257" s="4" t="n"/>
    </row>
    <row r="258">
      <c r="A258" s="4" t="n"/>
      <c r="B258" s="4" t="n"/>
      <c r="C258" s="6" t="n"/>
      <c r="D258" s="4" t="n"/>
      <c r="E258" s="4" t="n"/>
      <c r="F258" s="4" t="n"/>
      <c r="G258" s="6" t="n"/>
      <c r="H258" s="6" t="n"/>
      <c r="I258" s="6" t="n"/>
      <c r="J258" s="6" t="n"/>
      <c r="K258">
        <f>IF(OR(C258="",J258=""),"",NETWORKDAYS(C258,J258,Fériés!$A$2:$A$40)-1)</f>
        <v/>
      </c>
      <c r="L258">
        <f>IF(J258="","",IF(H258&lt;&gt;"",IF(J258&lt;=H258,"Oui","NON"),IF(K258&lt;=6,"Oui","NON")))</f>
        <v/>
      </c>
      <c r="M258" s="4" t="n"/>
      <c r="N258" s="4" t="n"/>
      <c r="O258" s="4" t="n"/>
      <c r="P258" s="4" t="n"/>
    </row>
    <row r="259">
      <c r="A259" s="4" t="n"/>
      <c r="B259" s="4" t="n"/>
      <c r="C259" s="6" t="n"/>
      <c r="D259" s="4" t="n"/>
      <c r="E259" s="4" t="n"/>
      <c r="F259" s="4" t="n"/>
      <c r="G259" s="6" t="n"/>
      <c r="H259" s="6" t="n"/>
      <c r="I259" s="6" t="n"/>
      <c r="J259" s="6" t="n"/>
      <c r="K259">
        <f>IF(OR(C259="",J259=""),"",NETWORKDAYS(C259,J259,Fériés!$A$2:$A$40)-1)</f>
        <v/>
      </c>
      <c r="L259">
        <f>IF(J259="","",IF(H259&lt;&gt;"",IF(J259&lt;=H259,"Oui","NON"),IF(K259&lt;=6,"Oui","NON")))</f>
        <v/>
      </c>
      <c r="M259" s="4" t="n"/>
      <c r="N259" s="4" t="n"/>
      <c r="O259" s="4" t="n"/>
      <c r="P259" s="4" t="n"/>
    </row>
    <row r="260">
      <c r="A260" s="4" t="n"/>
      <c r="B260" s="4" t="n"/>
      <c r="C260" s="6" t="n"/>
      <c r="D260" s="4" t="n"/>
      <c r="E260" s="4" t="n"/>
      <c r="F260" s="4" t="n"/>
      <c r="G260" s="6" t="n"/>
      <c r="H260" s="6" t="n"/>
      <c r="I260" s="6" t="n"/>
      <c r="J260" s="6" t="n"/>
      <c r="K260">
        <f>IF(OR(C260="",J260=""),"",NETWORKDAYS(C260,J260,Fériés!$A$2:$A$40)-1)</f>
        <v/>
      </c>
      <c r="L260">
        <f>IF(J260="","",IF(H260&lt;&gt;"",IF(J260&lt;=H260,"Oui","NON"),IF(K260&lt;=6,"Oui","NON")))</f>
        <v/>
      </c>
      <c r="M260" s="4" t="n"/>
      <c r="N260" s="4" t="n"/>
      <c r="O260" s="4" t="n"/>
      <c r="P260" s="4" t="n"/>
    </row>
    <row r="261">
      <c r="A261" s="4" t="n"/>
      <c r="B261" s="4" t="n"/>
      <c r="C261" s="6" t="n"/>
      <c r="D261" s="4" t="n"/>
      <c r="E261" s="4" t="n"/>
      <c r="F261" s="4" t="n"/>
      <c r="G261" s="6" t="n"/>
      <c r="H261" s="6" t="n"/>
      <c r="I261" s="6" t="n"/>
      <c r="J261" s="6" t="n"/>
      <c r="K261">
        <f>IF(OR(C261="",J261=""),"",NETWORKDAYS(C261,J261,Fériés!$A$2:$A$40)-1)</f>
        <v/>
      </c>
      <c r="L261">
        <f>IF(J261="","",IF(H261&lt;&gt;"",IF(J261&lt;=H261,"Oui","NON"),IF(K261&lt;=6,"Oui","NON")))</f>
        <v/>
      </c>
      <c r="M261" s="4" t="n"/>
      <c r="N261" s="4" t="n"/>
      <c r="O261" s="4" t="n"/>
      <c r="P261" s="4" t="n"/>
    </row>
    <row r="262">
      <c r="A262" s="4" t="n"/>
      <c r="B262" s="4" t="n"/>
      <c r="C262" s="6" t="n"/>
      <c r="D262" s="4" t="n"/>
      <c r="E262" s="4" t="n"/>
      <c r="F262" s="4" t="n"/>
      <c r="G262" s="6" t="n"/>
      <c r="H262" s="6" t="n"/>
      <c r="I262" s="6" t="n"/>
      <c r="J262" s="6" t="n"/>
      <c r="K262">
        <f>IF(OR(C262="",J262=""),"",NETWORKDAYS(C262,J262,Fériés!$A$2:$A$40)-1)</f>
        <v/>
      </c>
      <c r="L262">
        <f>IF(J262="","",IF(H262&lt;&gt;"",IF(J262&lt;=H262,"Oui","NON"),IF(K262&lt;=6,"Oui","NON")))</f>
        <v/>
      </c>
      <c r="M262" s="4" t="n"/>
      <c r="N262" s="4" t="n"/>
      <c r="O262" s="4" t="n"/>
      <c r="P262" s="4" t="n"/>
    </row>
    <row r="263">
      <c r="A263" s="4" t="n"/>
      <c r="B263" s="4" t="n"/>
      <c r="C263" s="6" t="n"/>
      <c r="D263" s="4" t="n"/>
      <c r="E263" s="4" t="n"/>
      <c r="F263" s="4" t="n"/>
      <c r="G263" s="6" t="n"/>
      <c r="H263" s="6" t="n"/>
      <c r="I263" s="6" t="n"/>
      <c r="J263" s="6" t="n"/>
      <c r="K263">
        <f>IF(OR(C263="",J263=""),"",NETWORKDAYS(C263,J263,Fériés!$A$2:$A$40)-1)</f>
        <v/>
      </c>
      <c r="L263">
        <f>IF(J263="","",IF(H263&lt;&gt;"",IF(J263&lt;=H263,"Oui","NON"),IF(K263&lt;=6,"Oui","NON")))</f>
        <v/>
      </c>
      <c r="M263" s="4" t="n"/>
      <c r="N263" s="4" t="n"/>
      <c r="O263" s="4" t="n"/>
      <c r="P263" s="4" t="n"/>
    </row>
    <row r="264">
      <c r="A264" s="4" t="n"/>
      <c r="B264" s="4" t="n"/>
      <c r="C264" s="6" t="n"/>
      <c r="D264" s="4" t="n"/>
      <c r="E264" s="4" t="n"/>
      <c r="F264" s="4" t="n"/>
      <c r="G264" s="6" t="n"/>
      <c r="H264" s="6" t="n"/>
      <c r="I264" s="6" t="n"/>
      <c r="J264" s="6" t="n"/>
      <c r="K264">
        <f>IF(OR(C264="",J264=""),"",NETWORKDAYS(C264,J264,Fériés!$A$2:$A$40)-1)</f>
        <v/>
      </c>
      <c r="L264">
        <f>IF(J264="","",IF(H264&lt;&gt;"",IF(J264&lt;=H264,"Oui","NON"),IF(K264&lt;=6,"Oui","NON")))</f>
        <v/>
      </c>
      <c r="M264" s="4" t="n"/>
      <c r="N264" s="4" t="n"/>
      <c r="O264" s="4" t="n"/>
      <c r="P264" s="4" t="n"/>
    </row>
    <row r="265">
      <c r="A265" s="4" t="n"/>
      <c r="B265" s="4" t="n"/>
      <c r="C265" s="6" t="n"/>
      <c r="D265" s="4" t="n"/>
      <c r="E265" s="4" t="n"/>
      <c r="F265" s="4" t="n"/>
      <c r="G265" s="6" t="n"/>
      <c r="H265" s="6" t="n"/>
      <c r="I265" s="6" t="n"/>
      <c r="J265" s="6" t="n"/>
      <c r="K265">
        <f>IF(OR(C265="",J265=""),"",NETWORKDAYS(C265,J265,Fériés!$A$2:$A$40)-1)</f>
        <v/>
      </c>
      <c r="L265">
        <f>IF(J265="","",IF(H265&lt;&gt;"",IF(J265&lt;=H265,"Oui","NON"),IF(K265&lt;=6,"Oui","NON")))</f>
        <v/>
      </c>
      <c r="M265" s="4" t="n"/>
      <c r="N265" s="4" t="n"/>
      <c r="O265" s="4" t="n"/>
      <c r="P265" s="4" t="n"/>
    </row>
    <row r="266">
      <c r="A266" s="4" t="n"/>
      <c r="B266" s="4" t="n"/>
      <c r="C266" s="6" t="n"/>
      <c r="D266" s="4" t="n"/>
      <c r="E266" s="4" t="n"/>
      <c r="F266" s="4" t="n"/>
      <c r="G266" s="6" t="n"/>
      <c r="H266" s="6" t="n"/>
      <c r="I266" s="6" t="n"/>
      <c r="J266" s="6" t="n"/>
      <c r="K266">
        <f>IF(OR(C266="",J266=""),"",NETWORKDAYS(C266,J266,Fériés!$A$2:$A$40)-1)</f>
        <v/>
      </c>
      <c r="L266">
        <f>IF(J266="","",IF(H266&lt;&gt;"",IF(J266&lt;=H266,"Oui","NON"),IF(K266&lt;=6,"Oui","NON")))</f>
        <v/>
      </c>
      <c r="M266" s="4" t="n"/>
      <c r="N266" s="4" t="n"/>
      <c r="O266" s="4" t="n"/>
      <c r="P266" s="4" t="n"/>
    </row>
    <row r="267">
      <c r="A267" s="4" t="n"/>
      <c r="B267" s="4" t="n"/>
      <c r="C267" s="6" t="n"/>
      <c r="D267" s="4" t="n"/>
      <c r="E267" s="4" t="n"/>
      <c r="F267" s="4" t="n"/>
      <c r="G267" s="6" t="n"/>
      <c r="H267" s="6" t="n"/>
      <c r="I267" s="6" t="n"/>
      <c r="J267" s="6" t="n"/>
      <c r="K267">
        <f>IF(OR(C267="",J267=""),"",NETWORKDAYS(C267,J267,Fériés!$A$2:$A$40)-1)</f>
        <v/>
      </c>
      <c r="L267">
        <f>IF(J267="","",IF(H267&lt;&gt;"",IF(J267&lt;=H267,"Oui","NON"),IF(K267&lt;=6,"Oui","NON")))</f>
        <v/>
      </c>
      <c r="M267" s="4" t="n"/>
      <c r="N267" s="4" t="n"/>
      <c r="O267" s="4" t="n"/>
      <c r="P267" s="4" t="n"/>
    </row>
    <row r="268">
      <c r="A268" s="4" t="n"/>
      <c r="B268" s="4" t="n"/>
      <c r="C268" s="6" t="n"/>
      <c r="D268" s="4" t="n"/>
      <c r="E268" s="4" t="n"/>
      <c r="F268" s="4" t="n"/>
      <c r="G268" s="6" t="n"/>
      <c r="H268" s="6" t="n"/>
      <c r="I268" s="6" t="n"/>
      <c r="J268" s="6" t="n"/>
      <c r="K268">
        <f>IF(OR(C268="",J268=""),"",NETWORKDAYS(C268,J268,Fériés!$A$2:$A$40)-1)</f>
        <v/>
      </c>
      <c r="L268">
        <f>IF(J268="","",IF(H268&lt;&gt;"",IF(J268&lt;=H268,"Oui","NON"),IF(K268&lt;=6,"Oui","NON")))</f>
        <v/>
      </c>
      <c r="M268" s="4" t="n"/>
      <c r="N268" s="4" t="n"/>
      <c r="O268" s="4" t="n"/>
      <c r="P268" s="4" t="n"/>
    </row>
    <row r="269">
      <c r="A269" s="4" t="n"/>
      <c r="B269" s="4" t="n"/>
      <c r="C269" s="6" t="n"/>
      <c r="D269" s="4" t="n"/>
      <c r="E269" s="4" t="n"/>
      <c r="F269" s="4" t="n"/>
      <c r="G269" s="6" t="n"/>
      <c r="H269" s="6" t="n"/>
      <c r="I269" s="6" t="n"/>
      <c r="J269" s="6" t="n"/>
      <c r="K269">
        <f>IF(OR(C269="",J269=""),"",NETWORKDAYS(C269,J269,Fériés!$A$2:$A$40)-1)</f>
        <v/>
      </c>
      <c r="L269">
        <f>IF(J269="","",IF(H269&lt;&gt;"",IF(J269&lt;=H269,"Oui","NON"),IF(K269&lt;=6,"Oui","NON")))</f>
        <v/>
      </c>
      <c r="M269" s="4" t="n"/>
      <c r="N269" s="4" t="n"/>
      <c r="O269" s="4" t="n"/>
      <c r="P269" s="4" t="n"/>
    </row>
    <row r="270">
      <c r="A270" s="4" t="n"/>
      <c r="B270" s="4" t="n"/>
      <c r="C270" s="6" t="n"/>
      <c r="D270" s="4" t="n"/>
      <c r="E270" s="4" t="n"/>
      <c r="F270" s="4" t="n"/>
      <c r="G270" s="6" t="n"/>
      <c r="H270" s="6" t="n"/>
      <c r="I270" s="6" t="n"/>
      <c r="J270" s="6" t="n"/>
      <c r="K270">
        <f>IF(OR(C270="",J270=""),"",NETWORKDAYS(C270,J270,Fériés!$A$2:$A$40)-1)</f>
        <v/>
      </c>
      <c r="L270">
        <f>IF(J270="","",IF(H270&lt;&gt;"",IF(J270&lt;=H270,"Oui","NON"),IF(K270&lt;=6,"Oui","NON")))</f>
        <v/>
      </c>
      <c r="M270" s="4" t="n"/>
      <c r="N270" s="4" t="n"/>
      <c r="O270" s="4" t="n"/>
      <c r="P270" s="4" t="n"/>
    </row>
    <row r="271">
      <c r="A271" s="4" t="n"/>
      <c r="B271" s="4" t="n"/>
      <c r="C271" s="6" t="n"/>
      <c r="D271" s="4" t="n"/>
      <c r="E271" s="4" t="n"/>
      <c r="F271" s="4" t="n"/>
      <c r="G271" s="6" t="n"/>
      <c r="H271" s="6" t="n"/>
      <c r="I271" s="6" t="n"/>
      <c r="J271" s="6" t="n"/>
      <c r="K271">
        <f>IF(OR(C271="",J271=""),"",NETWORKDAYS(C271,J271,Fériés!$A$2:$A$40)-1)</f>
        <v/>
      </c>
      <c r="L271">
        <f>IF(J271="","",IF(H271&lt;&gt;"",IF(J271&lt;=H271,"Oui","NON"),IF(K271&lt;=6,"Oui","NON")))</f>
        <v/>
      </c>
      <c r="M271" s="4" t="n"/>
      <c r="N271" s="4" t="n"/>
      <c r="O271" s="4" t="n"/>
      <c r="P271" s="4" t="n"/>
    </row>
    <row r="272">
      <c r="A272" s="4" t="n"/>
      <c r="B272" s="4" t="n"/>
      <c r="C272" s="6" t="n"/>
      <c r="D272" s="4" t="n"/>
      <c r="E272" s="4" t="n"/>
      <c r="F272" s="4" t="n"/>
      <c r="G272" s="6" t="n"/>
      <c r="H272" s="6" t="n"/>
      <c r="I272" s="6" t="n"/>
      <c r="J272" s="6" t="n"/>
      <c r="K272">
        <f>IF(OR(C272="",J272=""),"",NETWORKDAYS(C272,J272,Fériés!$A$2:$A$40)-1)</f>
        <v/>
      </c>
      <c r="L272">
        <f>IF(J272="","",IF(H272&lt;&gt;"",IF(J272&lt;=H272,"Oui","NON"),IF(K272&lt;=6,"Oui","NON")))</f>
        <v/>
      </c>
      <c r="M272" s="4" t="n"/>
      <c r="N272" s="4" t="n"/>
      <c r="O272" s="4" t="n"/>
      <c r="P272" s="4" t="n"/>
    </row>
    <row r="273">
      <c r="A273" s="4" t="n"/>
      <c r="B273" s="4" t="n"/>
      <c r="C273" s="6" t="n"/>
      <c r="D273" s="4" t="n"/>
      <c r="E273" s="4" t="n"/>
      <c r="F273" s="4" t="n"/>
      <c r="G273" s="6" t="n"/>
      <c r="H273" s="6" t="n"/>
      <c r="I273" s="6" t="n"/>
      <c r="J273" s="6" t="n"/>
      <c r="K273">
        <f>IF(OR(C273="",J273=""),"",NETWORKDAYS(C273,J273,Fériés!$A$2:$A$40)-1)</f>
        <v/>
      </c>
      <c r="L273">
        <f>IF(J273="","",IF(H273&lt;&gt;"",IF(J273&lt;=H273,"Oui","NON"),IF(K273&lt;=6,"Oui","NON")))</f>
        <v/>
      </c>
      <c r="M273" s="4" t="n"/>
      <c r="N273" s="4" t="n"/>
      <c r="O273" s="4" t="n"/>
      <c r="P273" s="4" t="n"/>
    </row>
    <row r="274">
      <c r="A274" s="4" t="n"/>
      <c r="B274" s="4" t="n"/>
      <c r="C274" s="6" t="n"/>
      <c r="D274" s="4" t="n"/>
      <c r="E274" s="4" t="n"/>
      <c r="F274" s="4" t="n"/>
      <c r="G274" s="6" t="n"/>
      <c r="H274" s="6" t="n"/>
      <c r="I274" s="6" t="n"/>
      <c r="J274" s="6" t="n"/>
      <c r="K274">
        <f>IF(OR(C274="",J274=""),"",NETWORKDAYS(C274,J274,Fériés!$A$2:$A$40)-1)</f>
        <v/>
      </c>
      <c r="L274">
        <f>IF(J274="","",IF(H274&lt;&gt;"",IF(J274&lt;=H274,"Oui","NON"),IF(K274&lt;=6,"Oui","NON")))</f>
        <v/>
      </c>
      <c r="M274" s="4" t="n"/>
      <c r="N274" s="4" t="n"/>
      <c r="O274" s="4" t="n"/>
      <c r="P274" s="4" t="n"/>
    </row>
    <row r="275">
      <c r="A275" s="4" t="n"/>
      <c r="B275" s="4" t="n"/>
      <c r="C275" s="6" t="n"/>
      <c r="D275" s="4" t="n"/>
      <c r="E275" s="4" t="n"/>
      <c r="F275" s="4" t="n"/>
      <c r="G275" s="6" t="n"/>
      <c r="H275" s="6" t="n"/>
      <c r="I275" s="6" t="n"/>
      <c r="J275" s="6" t="n"/>
      <c r="K275">
        <f>IF(OR(C275="",J275=""),"",NETWORKDAYS(C275,J275,Fériés!$A$2:$A$40)-1)</f>
        <v/>
      </c>
      <c r="L275">
        <f>IF(J275="","",IF(H275&lt;&gt;"",IF(J275&lt;=H275,"Oui","NON"),IF(K275&lt;=6,"Oui","NON")))</f>
        <v/>
      </c>
      <c r="M275" s="4" t="n"/>
      <c r="N275" s="4" t="n"/>
      <c r="O275" s="4" t="n"/>
      <c r="P275" s="4" t="n"/>
    </row>
    <row r="276">
      <c r="A276" s="4" t="n"/>
      <c r="B276" s="4" t="n"/>
      <c r="C276" s="6" t="n"/>
      <c r="D276" s="4" t="n"/>
      <c r="E276" s="4" t="n"/>
      <c r="F276" s="4" t="n"/>
      <c r="G276" s="6" t="n"/>
      <c r="H276" s="6" t="n"/>
      <c r="I276" s="6" t="n"/>
      <c r="J276" s="6" t="n"/>
      <c r="K276">
        <f>IF(OR(C276="",J276=""),"",NETWORKDAYS(C276,J276,Fériés!$A$2:$A$40)-1)</f>
        <v/>
      </c>
      <c r="L276">
        <f>IF(J276="","",IF(H276&lt;&gt;"",IF(J276&lt;=H276,"Oui","NON"),IF(K276&lt;=6,"Oui","NON")))</f>
        <v/>
      </c>
      <c r="M276" s="4" t="n"/>
      <c r="N276" s="4" t="n"/>
      <c r="O276" s="4" t="n"/>
      <c r="P276" s="4" t="n"/>
    </row>
    <row r="277">
      <c r="A277" s="4" t="n"/>
      <c r="B277" s="4" t="n"/>
      <c r="C277" s="6" t="n"/>
      <c r="D277" s="4" t="n"/>
      <c r="E277" s="4" t="n"/>
      <c r="F277" s="4" t="n"/>
      <c r="G277" s="6" t="n"/>
      <c r="H277" s="6" t="n"/>
      <c r="I277" s="6" t="n"/>
      <c r="J277" s="6" t="n"/>
      <c r="K277">
        <f>IF(OR(C277="",J277=""),"",NETWORKDAYS(C277,J277,Fériés!$A$2:$A$40)-1)</f>
        <v/>
      </c>
      <c r="L277">
        <f>IF(J277="","",IF(H277&lt;&gt;"",IF(J277&lt;=H277,"Oui","NON"),IF(K277&lt;=6,"Oui","NON")))</f>
        <v/>
      </c>
      <c r="M277" s="4" t="n"/>
      <c r="N277" s="4" t="n"/>
      <c r="O277" s="4" t="n"/>
      <c r="P277" s="4" t="n"/>
    </row>
    <row r="278">
      <c r="A278" s="4" t="n"/>
      <c r="B278" s="4" t="n"/>
      <c r="C278" s="6" t="n"/>
      <c r="D278" s="4" t="n"/>
      <c r="E278" s="4" t="n"/>
      <c r="F278" s="4" t="n"/>
      <c r="G278" s="6" t="n"/>
      <c r="H278" s="6" t="n"/>
      <c r="I278" s="6" t="n"/>
      <c r="J278" s="6" t="n"/>
      <c r="K278">
        <f>IF(OR(C278="",J278=""),"",NETWORKDAYS(C278,J278,Fériés!$A$2:$A$40)-1)</f>
        <v/>
      </c>
      <c r="L278">
        <f>IF(J278="","",IF(H278&lt;&gt;"",IF(J278&lt;=H278,"Oui","NON"),IF(K278&lt;=6,"Oui","NON")))</f>
        <v/>
      </c>
      <c r="M278" s="4" t="n"/>
      <c r="N278" s="4" t="n"/>
      <c r="O278" s="4" t="n"/>
      <c r="P278" s="4" t="n"/>
    </row>
    <row r="279">
      <c r="A279" s="4" t="n"/>
      <c r="B279" s="4" t="n"/>
      <c r="C279" s="6" t="n"/>
      <c r="D279" s="4" t="n"/>
      <c r="E279" s="4" t="n"/>
      <c r="F279" s="4" t="n"/>
      <c r="G279" s="6" t="n"/>
      <c r="H279" s="6" t="n"/>
      <c r="I279" s="6" t="n"/>
      <c r="J279" s="6" t="n"/>
      <c r="K279">
        <f>IF(OR(C279="",J279=""),"",NETWORKDAYS(C279,J279,Fériés!$A$2:$A$40)-1)</f>
        <v/>
      </c>
      <c r="L279">
        <f>IF(J279="","",IF(H279&lt;&gt;"",IF(J279&lt;=H279,"Oui","NON"),IF(K279&lt;=6,"Oui","NON")))</f>
        <v/>
      </c>
      <c r="M279" s="4" t="n"/>
      <c r="N279" s="4" t="n"/>
      <c r="O279" s="4" t="n"/>
      <c r="P279" s="4" t="n"/>
    </row>
    <row r="280">
      <c r="A280" s="4" t="n"/>
      <c r="B280" s="4" t="n"/>
      <c r="C280" s="6" t="n"/>
      <c r="D280" s="4" t="n"/>
      <c r="E280" s="4" t="n"/>
      <c r="F280" s="4" t="n"/>
      <c r="G280" s="6" t="n"/>
      <c r="H280" s="6" t="n"/>
      <c r="I280" s="6" t="n"/>
      <c r="J280" s="6" t="n"/>
      <c r="K280">
        <f>IF(OR(C280="",J280=""),"",NETWORKDAYS(C280,J280,Fériés!$A$2:$A$40)-1)</f>
        <v/>
      </c>
      <c r="L280">
        <f>IF(J280="","",IF(H280&lt;&gt;"",IF(J280&lt;=H280,"Oui","NON"),IF(K280&lt;=6,"Oui","NON")))</f>
        <v/>
      </c>
      <c r="M280" s="4" t="n"/>
      <c r="N280" s="4" t="n"/>
      <c r="O280" s="4" t="n"/>
      <c r="P280" s="4" t="n"/>
    </row>
    <row r="281">
      <c r="A281" s="4" t="n"/>
      <c r="B281" s="4" t="n"/>
      <c r="C281" s="6" t="n"/>
      <c r="D281" s="4" t="n"/>
      <c r="E281" s="4" t="n"/>
      <c r="F281" s="4" t="n"/>
      <c r="G281" s="6" t="n"/>
      <c r="H281" s="6" t="n"/>
      <c r="I281" s="6" t="n"/>
      <c r="J281" s="6" t="n"/>
      <c r="K281">
        <f>IF(OR(C281="",J281=""),"",NETWORKDAYS(C281,J281,Fériés!$A$2:$A$40)-1)</f>
        <v/>
      </c>
      <c r="L281">
        <f>IF(J281="","",IF(H281&lt;&gt;"",IF(J281&lt;=H281,"Oui","NON"),IF(K281&lt;=6,"Oui","NON")))</f>
        <v/>
      </c>
      <c r="M281" s="4" t="n"/>
      <c r="N281" s="4" t="n"/>
      <c r="O281" s="4" t="n"/>
      <c r="P281" s="4" t="n"/>
    </row>
    <row r="282">
      <c r="A282" s="4" t="n"/>
      <c r="B282" s="4" t="n"/>
      <c r="C282" s="6" t="n"/>
      <c r="D282" s="4" t="n"/>
      <c r="E282" s="4" t="n"/>
      <c r="F282" s="4" t="n"/>
      <c r="G282" s="6" t="n"/>
      <c r="H282" s="6" t="n"/>
      <c r="I282" s="6" t="n"/>
      <c r="J282" s="6" t="n"/>
      <c r="K282">
        <f>IF(OR(C282="",J282=""),"",NETWORKDAYS(C282,J282,Fériés!$A$2:$A$40)-1)</f>
        <v/>
      </c>
      <c r="L282">
        <f>IF(J282="","",IF(H282&lt;&gt;"",IF(J282&lt;=H282,"Oui","NON"),IF(K282&lt;=6,"Oui","NON")))</f>
        <v/>
      </c>
      <c r="M282" s="4" t="n"/>
      <c r="N282" s="4" t="n"/>
      <c r="O282" s="4" t="n"/>
      <c r="P282" s="4" t="n"/>
    </row>
    <row r="283">
      <c r="A283" s="4" t="n"/>
      <c r="B283" s="4" t="n"/>
      <c r="C283" s="6" t="n"/>
      <c r="D283" s="4" t="n"/>
      <c r="E283" s="4" t="n"/>
      <c r="F283" s="4" t="n"/>
      <c r="G283" s="6" t="n"/>
      <c r="H283" s="6" t="n"/>
      <c r="I283" s="6" t="n"/>
      <c r="J283" s="6" t="n"/>
      <c r="K283">
        <f>IF(OR(C283="",J283=""),"",NETWORKDAYS(C283,J283,Fériés!$A$2:$A$40)-1)</f>
        <v/>
      </c>
      <c r="L283">
        <f>IF(J283="","",IF(H283&lt;&gt;"",IF(J283&lt;=H283,"Oui","NON"),IF(K283&lt;=6,"Oui","NON")))</f>
        <v/>
      </c>
      <c r="M283" s="4" t="n"/>
      <c r="N283" s="4" t="n"/>
      <c r="O283" s="4" t="n"/>
      <c r="P283" s="4" t="n"/>
    </row>
    <row r="284">
      <c r="A284" s="4" t="n"/>
      <c r="B284" s="4" t="n"/>
      <c r="C284" s="6" t="n"/>
      <c r="D284" s="4" t="n"/>
      <c r="E284" s="4" t="n"/>
      <c r="F284" s="4" t="n"/>
      <c r="G284" s="6" t="n"/>
      <c r="H284" s="6" t="n"/>
      <c r="I284" s="6" t="n"/>
      <c r="J284" s="6" t="n"/>
      <c r="K284">
        <f>IF(OR(C284="",J284=""),"",NETWORKDAYS(C284,J284,Fériés!$A$2:$A$40)-1)</f>
        <v/>
      </c>
      <c r="L284">
        <f>IF(J284="","",IF(H284&lt;&gt;"",IF(J284&lt;=H284,"Oui","NON"),IF(K284&lt;=6,"Oui","NON")))</f>
        <v/>
      </c>
      <c r="M284" s="4" t="n"/>
      <c r="N284" s="4" t="n"/>
      <c r="O284" s="4" t="n"/>
      <c r="P284" s="4" t="n"/>
    </row>
    <row r="285">
      <c r="A285" s="4" t="n"/>
      <c r="B285" s="4" t="n"/>
      <c r="C285" s="6" t="n"/>
      <c r="D285" s="4" t="n"/>
      <c r="E285" s="4" t="n"/>
      <c r="F285" s="4" t="n"/>
      <c r="G285" s="6" t="n"/>
      <c r="H285" s="6" t="n"/>
      <c r="I285" s="6" t="n"/>
      <c r="J285" s="6" t="n"/>
      <c r="K285">
        <f>IF(OR(C285="",J285=""),"",NETWORKDAYS(C285,J285,Fériés!$A$2:$A$40)-1)</f>
        <v/>
      </c>
      <c r="L285">
        <f>IF(J285="","",IF(H285&lt;&gt;"",IF(J285&lt;=H285,"Oui","NON"),IF(K285&lt;=6,"Oui","NON")))</f>
        <v/>
      </c>
      <c r="M285" s="4" t="n"/>
      <c r="N285" s="4" t="n"/>
      <c r="O285" s="4" t="n"/>
      <c r="P285" s="4" t="n"/>
    </row>
    <row r="286">
      <c r="A286" s="4" t="n"/>
      <c r="B286" s="4" t="n"/>
      <c r="C286" s="6" t="n"/>
      <c r="D286" s="4" t="n"/>
      <c r="E286" s="4" t="n"/>
      <c r="F286" s="4" t="n"/>
      <c r="G286" s="6" t="n"/>
      <c r="H286" s="6" t="n"/>
      <c r="I286" s="6" t="n"/>
      <c r="J286" s="6" t="n"/>
      <c r="K286">
        <f>IF(OR(C286="",J286=""),"",NETWORKDAYS(C286,J286,Fériés!$A$2:$A$40)-1)</f>
        <v/>
      </c>
      <c r="L286">
        <f>IF(J286="","",IF(H286&lt;&gt;"",IF(J286&lt;=H286,"Oui","NON"),IF(K286&lt;=6,"Oui","NON")))</f>
        <v/>
      </c>
      <c r="M286" s="4" t="n"/>
      <c r="N286" s="4" t="n"/>
      <c r="O286" s="4" t="n"/>
      <c r="P286" s="4" t="n"/>
    </row>
    <row r="287">
      <c r="A287" s="4" t="n"/>
      <c r="B287" s="4" t="n"/>
      <c r="C287" s="6" t="n"/>
      <c r="D287" s="4" t="n"/>
      <c r="E287" s="4" t="n"/>
      <c r="F287" s="4" t="n"/>
      <c r="G287" s="6" t="n"/>
      <c r="H287" s="6" t="n"/>
      <c r="I287" s="6" t="n"/>
      <c r="J287" s="6" t="n"/>
      <c r="K287">
        <f>IF(OR(C287="",J287=""),"",NETWORKDAYS(C287,J287,Fériés!$A$2:$A$40)-1)</f>
        <v/>
      </c>
      <c r="L287">
        <f>IF(J287="","",IF(H287&lt;&gt;"",IF(J287&lt;=H287,"Oui","NON"),IF(K287&lt;=6,"Oui","NON")))</f>
        <v/>
      </c>
      <c r="M287" s="4" t="n"/>
      <c r="N287" s="4" t="n"/>
      <c r="O287" s="4" t="n"/>
      <c r="P287" s="4" t="n"/>
    </row>
    <row r="288">
      <c r="A288" s="4" t="n"/>
      <c r="B288" s="4" t="n"/>
      <c r="C288" s="6" t="n"/>
      <c r="D288" s="4" t="n"/>
      <c r="E288" s="4" t="n"/>
      <c r="F288" s="4" t="n"/>
      <c r="G288" s="6" t="n"/>
      <c r="H288" s="6" t="n"/>
      <c r="I288" s="6" t="n"/>
      <c r="J288" s="6" t="n"/>
      <c r="K288">
        <f>IF(OR(C288="",J288=""),"",NETWORKDAYS(C288,J288,Fériés!$A$2:$A$40)-1)</f>
        <v/>
      </c>
      <c r="L288">
        <f>IF(J288="","",IF(H288&lt;&gt;"",IF(J288&lt;=H288,"Oui","NON"),IF(K288&lt;=6,"Oui","NON")))</f>
        <v/>
      </c>
      <c r="M288" s="4" t="n"/>
      <c r="N288" s="4" t="n"/>
      <c r="O288" s="4" t="n"/>
      <c r="P288" s="4" t="n"/>
    </row>
    <row r="289">
      <c r="A289" s="4" t="n"/>
      <c r="B289" s="4" t="n"/>
      <c r="C289" s="6" t="n"/>
      <c r="D289" s="4" t="n"/>
      <c r="E289" s="4" t="n"/>
      <c r="F289" s="4" t="n"/>
      <c r="G289" s="6" t="n"/>
      <c r="H289" s="6" t="n"/>
      <c r="I289" s="6" t="n"/>
      <c r="J289" s="6" t="n"/>
      <c r="K289">
        <f>IF(OR(C289="",J289=""),"",NETWORKDAYS(C289,J289,Fériés!$A$2:$A$40)-1)</f>
        <v/>
      </c>
      <c r="L289">
        <f>IF(J289="","",IF(H289&lt;&gt;"",IF(J289&lt;=H289,"Oui","NON"),IF(K289&lt;=6,"Oui","NON")))</f>
        <v/>
      </c>
      <c r="M289" s="4" t="n"/>
      <c r="N289" s="4" t="n"/>
      <c r="O289" s="4" t="n"/>
      <c r="P289" s="4" t="n"/>
    </row>
    <row r="290">
      <c r="A290" s="4" t="n"/>
      <c r="B290" s="4" t="n"/>
      <c r="C290" s="6" t="n"/>
      <c r="D290" s="4" t="n"/>
      <c r="E290" s="4" t="n"/>
      <c r="F290" s="4" t="n"/>
      <c r="G290" s="6" t="n"/>
      <c r="H290" s="6" t="n"/>
      <c r="I290" s="6" t="n"/>
      <c r="J290" s="6" t="n"/>
      <c r="K290">
        <f>IF(OR(C290="",J290=""),"",NETWORKDAYS(C290,J290,Fériés!$A$2:$A$40)-1)</f>
        <v/>
      </c>
      <c r="L290">
        <f>IF(J290="","",IF(H290&lt;&gt;"",IF(J290&lt;=H290,"Oui","NON"),IF(K290&lt;=6,"Oui","NON")))</f>
        <v/>
      </c>
      <c r="M290" s="4" t="n"/>
      <c r="N290" s="4" t="n"/>
      <c r="O290" s="4" t="n"/>
      <c r="P290" s="4" t="n"/>
    </row>
    <row r="291">
      <c r="A291" s="4" t="n"/>
      <c r="B291" s="4" t="n"/>
      <c r="C291" s="6" t="n"/>
      <c r="D291" s="4" t="n"/>
      <c r="E291" s="4" t="n"/>
      <c r="F291" s="4" t="n"/>
      <c r="G291" s="6" t="n"/>
      <c r="H291" s="6" t="n"/>
      <c r="I291" s="6" t="n"/>
      <c r="J291" s="6" t="n"/>
      <c r="K291">
        <f>IF(OR(C291="",J291=""),"",NETWORKDAYS(C291,J291,Fériés!$A$2:$A$40)-1)</f>
        <v/>
      </c>
      <c r="L291">
        <f>IF(J291="","",IF(H291&lt;&gt;"",IF(J291&lt;=H291,"Oui","NON"),IF(K291&lt;=6,"Oui","NON")))</f>
        <v/>
      </c>
      <c r="M291" s="4" t="n"/>
      <c r="N291" s="4" t="n"/>
      <c r="O291" s="4" t="n"/>
      <c r="P291" s="4" t="n"/>
    </row>
    <row r="292">
      <c r="A292" s="4" t="n"/>
      <c r="B292" s="4" t="n"/>
      <c r="C292" s="6" t="n"/>
      <c r="D292" s="4" t="n"/>
      <c r="E292" s="4" t="n"/>
      <c r="F292" s="4" t="n"/>
      <c r="G292" s="6" t="n"/>
      <c r="H292" s="6" t="n"/>
      <c r="I292" s="6" t="n"/>
      <c r="J292" s="6" t="n"/>
      <c r="K292">
        <f>IF(OR(C292="",J292=""),"",NETWORKDAYS(C292,J292,Fériés!$A$2:$A$40)-1)</f>
        <v/>
      </c>
      <c r="L292">
        <f>IF(J292="","",IF(H292&lt;&gt;"",IF(J292&lt;=H292,"Oui","NON"),IF(K292&lt;=6,"Oui","NON")))</f>
        <v/>
      </c>
      <c r="M292" s="4" t="n"/>
      <c r="N292" s="4" t="n"/>
      <c r="O292" s="4" t="n"/>
      <c r="P292" s="4" t="n"/>
    </row>
    <row r="293">
      <c r="A293" s="4" t="n"/>
      <c r="B293" s="4" t="n"/>
      <c r="C293" s="6" t="n"/>
      <c r="D293" s="4" t="n"/>
      <c r="E293" s="4" t="n"/>
      <c r="F293" s="4" t="n"/>
      <c r="G293" s="6" t="n"/>
      <c r="H293" s="6" t="n"/>
      <c r="I293" s="6" t="n"/>
      <c r="J293" s="6" t="n"/>
      <c r="K293">
        <f>IF(OR(C293="",J293=""),"",NETWORKDAYS(C293,J293,Fériés!$A$2:$A$40)-1)</f>
        <v/>
      </c>
      <c r="L293">
        <f>IF(J293="","",IF(H293&lt;&gt;"",IF(J293&lt;=H293,"Oui","NON"),IF(K293&lt;=6,"Oui","NON")))</f>
        <v/>
      </c>
      <c r="M293" s="4" t="n"/>
      <c r="N293" s="4" t="n"/>
      <c r="O293" s="4" t="n"/>
      <c r="P293" s="4" t="n"/>
    </row>
    <row r="294">
      <c r="A294" s="4" t="n"/>
      <c r="B294" s="4" t="n"/>
      <c r="C294" s="6" t="n"/>
      <c r="D294" s="4" t="n"/>
      <c r="E294" s="4" t="n"/>
      <c r="F294" s="4" t="n"/>
      <c r="G294" s="6" t="n"/>
      <c r="H294" s="6" t="n"/>
      <c r="I294" s="6" t="n"/>
      <c r="J294" s="6" t="n"/>
      <c r="K294">
        <f>IF(OR(C294="",J294=""),"",NETWORKDAYS(C294,J294,Fériés!$A$2:$A$40)-1)</f>
        <v/>
      </c>
      <c r="L294">
        <f>IF(J294="","",IF(H294&lt;&gt;"",IF(J294&lt;=H294,"Oui","NON"),IF(K294&lt;=6,"Oui","NON")))</f>
        <v/>
      </c>
      <c r="M294" s="4" t="n"/>
      <c r="N294" s="4" t="n"/>
      <c r="O294" s="4" t="n"/>
      <c r="P294" s="4" t="n"/>
    </row>
    <row r="295">
      <c r="A295" s="4" t="n"/>
      <c r="B295" s="4" t="n"/>
      <c r="C295" s="6" t="n"/>
      <c r="D295" s="4" t="n"/>
      <c r="E295" s="4" t="n"/>
      <c r="F295" s="4" t="n"/>
      <c r="G295" s="6" t="n"/>
      <c r="H295" s="6" t="n"/>
      <c r="I295" s="6" t="n"/>
      <c r="J295" s="6" t="n"/>
      <c r="K295">
        <f>IF(OR(C295="",J295=""),"",NETWORKDAYS(C295,J295,Fériés!$A$2:$A$40)-1)</f>
        <v/>
      </c>
      <c r="L295">
        <f>IF(J295="","",IF(H295&lt;&gt;"",IF(J295&lt;=H295,"Oui","NON"),IF(K295&lt;=6,"Oui","NON")))</f>
        <v/>
      </c>
      <c r="M295" s="4" t="n"/>
      <c r="N295" s="4" t="n"/>
      <c r="O295" s="4" t="n"/>
      <c r="P295" s="4" t="n"/>
    </row>
    <row r="296">
      <c r="A296" s="4" t="n"/>
      <c r="B296" s="4" t="n"/>
      <c r="C296" s="6" t="n"/>
      <c r="D296" s="4" t="n"/>
      <c r="E296" s="4" t="n"/>
      <c r="F296" s="4" t="n"/>
      <c r="G296" s="6" t="n"/>
      <c r="H296" s="6" t="n"/>
      <c r="I296" s="6" t="n"/>
      <c r="J296" s="6" t="n"/>
      <c r="K296">
        <f>IF(OR(C296="",J296=""),"",NETWORKDAYS(C296,J296,Fériés!$A$2:$A$40)-1)</f>
        <v/>
      </c>
      <c r="L296">
        <f>IF(J296="","",IF(H296&lt;&gt;"",IF(J296&lt;=H296,"Oui","NON"),IF(K296&lt;=6,"Oui","NON")))</f>
        <v/>
      </c>
      <c r="M296" s="4" t="n"/>
      <c r="N296" s="4" t="n"/>
      <c r="O296" s="4" t="n"/>
      <c r="P296" s="4" t="n"/>
    </row>
    <row r="297">
      <c r="A297" s="4" t="n"/>
      <c r="B297" s="4" t="n"/>
      <c r="C297" s="6" t="n"/>
      <c r="D297" s="4" t="n"/>
      <c r="E297" s="4" t="n"/>
      <c r="F297" s="4" t="n"/>
      <c r="G297" s="6" t="n"/>
      <c r="H297" s="6" t="n"/>
      <c r="I297" s="6" t="n"/>
      <c r="J297" s="6" t="n"/>
      <c r="K297">
        <f>IF(OR(C297="",J297=""),"",NETWORKDAYS(C297,J297,Fériés!$A$2:$A$40)-1)</f>
        <v/>
      </c>
      <c r="L297">
        <f>IF(J297="","",IF(H297&lt;&gt;"",IF(J297&lt;=H297,"Oui","NON"),IF(K297&lt;=6,"Oui","NON")))</f>
        <v/>
      </c>
      <c r="M297" s="4" t="n"/>
      <c r="N297" s="4" t="n"/>
      <c r="O297" s="4" t="n"/>
      <c r="P297" s="4" t="n"/>
    </row>
    <row r="298">
      <c r="A298" s="4" t="n"/>
      <c r="B298" s="4" t="n"/>
      <c r="C298" s="6" t="n"/>
      <c r="D298" s="4" t="n"/>
      <c r="E298" s="4" t="n"/>
      <c r="F298" s="4" t="n"/>
      <c r="G298" s="6" t="n"/>
      <c r="H298" s="6" t="n"/>
      <c r="I298" s="6" t="n"/>
      <c r="J298" s="6" t="n"/>
      <c r="K298">
        <f>IF(OR(C298="",J298=""),"",NETWORKDAYS(C298,J298,Fériés!$A$2:$A$40)-1)</f>
        <v/>
      </c>
      <c r="L298">
        <f>IF(J298="","",IF(H298&lt;&gt;"",IF(J298&lt;=H298,"Oui","NON"),IF(K298&lt;=6,"Oui","NON")))</f>
        <v/>
      </c>
      <c r="M298" s="4" t="n"/>
      <c r="N298" s="4" t="n"/>
      <c r="O298" s="4" t="n"/>
      <c r="P298" s="4" t="n"/>
    </row>
    <row r="299">
      <c r="A299" s="4" t="n"/>
      <c r="B299" s="4" t="n"/>
      <c r="C299" s="6" t="n"/>
      <c r="D299" s="4" t="n"/>
      <c r="E299" s="4" t="n"/>
      <c r="F299" s="4" t="n"/>
      <c r="G299" s="6" t="n"/>
      <c r="H299" s="6" t="n"/>
      <c r="I299" s="6" t="n"/>
      <c r="J299" s="6" t="n"/>
      <c r="K299">
        <f>IF(OR(C299="",J299=""),"",NETWORKDAYS(C299,J299,Fériés!$A$2:$A$40)-1)</f>
        <v/>
      </c>
      <c r="L299">
        <f>IF(J299="","",IF(H299&lt;&gt;"",IF(J299&lt;=H299,"Oui","NON"),IF(K299&lt;=6,"Oui","NON")))</f>
        <v/>
      </c>
      <c r="M299" s="4" t="n"/>
      <c r="N299" s="4" t="n"/>
      <c r="O299" s="4" t="n"/>
      <c r="P299" s="4" t="n"/>
    </row>
    <row r="300">
      <c r="A300" s="4" t="n"/>
      <c r="B300" s="4" t="n"/>
      <c r="C300" s="6" t="n"/>
      <c r="D300" s="4" t="n"/>
      <c r="E300" s="4" t="n"/>
      <c r="F300" s="4" t="n"/>
      <c r="G300" s="6" t="n"/>
      <c r="H300" s="6" t="n"/>
      <c r="I300" s="6" t="n"/>
      <c r="J300" s="6" t="n"/>
      <c r="K300">
        <f>IF(OR(C300="",J300=""),"",NETWORKDAYS(C300,J300,Fériés!$A$2:$A$40)-1)</f>
        <v/>
      </c>
      <c r="L300">
        <f>IF(J300="","",IF(H300&lt;&gt;"",IF(J300&lt;=H300,"Oui","NON"),IF(K300&lt;=6,"Oui","NON")))</f>
        <v/>
      </c>
      <c r="M300" s="4" t="n"/>
      <c r="N300" s="4" t="n"/>
      <c r="O300" s="4" t="n"/>
      <c r="P300" s="4" t="n"/>
    </row>
    <row r="301">
      <c r="A301" s="4" t="n"/>
      <c r="B301" s="4" t="n"/>
      <c r="C301" s="6" t="n"/>
      <c r="D301" s="4" t="n"/>
      <c r="E301" s="4" t="n"/>
      <c r="F301" s="4" t="n"/>
      <c r="G301" s="6" t="n"/>
      <c r="H301" s="6" t="n"/>
      <c r="I301" s="6" t="n"/>
      <c r="J301" s="6" t="n"/>
      <c r="K301">
        <f>IF(OR(C301="",J301=""),"",NETWORKDAYS(C301,J301,Fériés!$A$2:$A$40)-1)</f>
        <v/>
      </c>
      <c r="L301">
        <f>IF(J301="","",IF(H301&lt;&gt;"",IF(J301&lt;=H301,"Oui","NON"),IF(K301&lt;=6,"Oui","NON")))</f>
        <v/>
      </c>
      <c r="M301" s="4" t="n"/>
      <c r="N301" s="4" t="n"/>
      <c r="O301" s="4" t="n"/>
      <c r="P301" s="4" t="n"/>
    </row>
    <row r="302">
      <c r="A302" s="4" t="n"/>
      <c r="B302" s="4" t="n"/>
      <c r="C302" s="6" t="n"/>
      <c r="D302" s="4" t="n"/>
      <c r="E302" s="4" t="n"/>
      <c r="F302" s="4" t="n"/>
      <c r="G302" s="6" t="n"/>
      <c r="H302" s="6" t="n"/>
      <c r="I302" s="6" t="n"/>
      <c r="J302" s="6" t="n"/>
      <c r="K302">
        <f>IF(OR(C302="",J302=""),"",NETWORKDAYS(C302,J302,Fériés!$A$2:$A$40)-1)</f>
        <v/>
      </c>
      <c r="L302">
        <f>IF(J302="","",IF(H302&lt;&gt;"",IF(J302&lt;=H302,"Oui","NON"),IF(K302&lt;=6,"Oui","NON")))</f>
        <v/>
      </c>
      <c r="M302" s="4" t="n"/>
      <c r="N302" s="4" t="n"/>
      <c r="O302" s="4" t="n"/>
      <c r="P302" s="4" t="n"/>
    </row>
    <row r="303">
      <c r="A303" s="4" t="n"/>
      <c r="B303" s="4" t="n"/>
      <c r="C303" s="6" t="n"/>
      <c r="D303" s="4" t="n"/>
      <c r="E303" s="4" t="n"/>
      <c r="F303" s="4" t="n"/>
      <c r="G303" s="6" t="n"/>
      <c r="H303" s="6" t="n"/>
      <c r="I303" s="6" t="n"/>
      <c r="J303" s="6" t="n"/>
      <c r="K303">
        <f>IF(OR(C303="",J303=""),"",NETWORKDAYS(C303,J303,Fériés!$A$2:$A$40)-1)</f>
        <v/>
      </c>
      <c r="L303">
        <f>IF(J303="","",IF(H303&lt;&gt;"",IF(J303&lt;=H303,"Oui","NON"),IF(K303&lt;=6,"Oui","NON")))</f>
        <v/>
      </c>
      <c r="M303" s="4" t="n"/>
      <c r="N303" s="4" t="n"/>
      <c r="O303" s="4" t="n"/>
      <c r="P303" s="4" t="n"/>
    </row>
    <row r="304">
      <c r="A304" s="4" t="n"/>
      <c r="B304" s="4" t="n"/>
      <c r="C304" s="6" t="n"/>
      <c r="D304" s="4" t="n"/>
      <c r="E304" s="4" t="n"/>
      <c r="F304" s="4" t="n"/>
      <c r="G304" s="6" t="n"/>
      <c r="H304" s="6" t="n"/>
      <c r="I304" s="6" t="n"/>
      <c r="J304" s="6" t="n"/>
      <c r="K304">
        <f>IF(OR(C304="",J304=""),"",NETWORKDAYS(C304,J304,Fériés!$A$2:$A$40)-1)</f>
        <v/>
      </c>
      <c r="L304">
        <f>IF(J304="","",IF(H304&lt;&gt;"",IF(J304&lt;=H304,"Oui","NON"),IF(K304&lt;=6,"Oui","NON")))</f>
        <v/>
      </c>
      <c r="M304" s="4" t="n"/>
      <c r="N304" s="4" t="n"/>
      <c r="O304" s="4" t="n"/>
      <c r="P304" s="4" t="n"/>
    </row>
    <row r="305">
      <c r="A305" s="4" t="n"/>
      <c r="B305" s="4" t="n"/>
      <c r="C305" s="6" t="n"/>
      <c r="D305" s="4" t="n"/>
      <c r="E305" s="4" t="n"/>
      <c r="F305" s="4" t="n"/>
      <c r="G305" s="6" t="n"/>
      <c r="H305" s="6" t="n"/>
      <c r="I305" s="6" t="n"/>
      <c r="J305" s="6" t="n"/>
      <c r="K305">
        <f>IF(OR(C305="",J305=""),"",NETWORKDAYS(C305,J305,Fériés!$A$2:$A$40)-1)</f>
        <v/>
      </c>
      <c r="L305">
        <f>IF(J305="","",IF(H305&lt;&gt;"",IF(J305&lt;=H305,"Oui","NON"),IF(K305&lt;=6,"Oui","NON")))</f>
        <v/>
      </c>
      <c r="M305" s="4" t="n"/>
      <c r="N305" s="4" t="n"/>
      <c r="O305" s="4" t="n"/>
      <c r="P305" s="4" t="n"/>
    </row>
    <row r="306">
      <c r="A306" s="4" t="n"/>
      <c r="B306" s="4" t="n"/>
      <c r="C306" s="6" t="n"/>
      <c r="D306" s="4" t="n"/>
      <c r="E306" s="4" t="n"/>
      <c r="F306" s="4" t="n"/>
      <c r="G306" s="6" t="n"/>
      <c r="H306" s="6" t="n"/>
      <c r="I306" s="6" t="n"/>
      <c r="J306" s="6" t="n"/>
      <c r="K306">
        <f>IF(OR(C306="",J306=""),"",NETWORKDAYS(C306,J306,Fériés!$A$2:$A$40)-1)</f>
        <v/>
      </c>
      <c r="L306">
        <f>IF(J306="","",IF(H306&lt;&gt;"",IF(J306&lt;=H306,"Oui","NON"),IF(K306&lt;=6,"Oui","NON")))</f>
        <v/>
      </c>
      <c r="M306" s="4" t="n"/>
      <c r="N306" s="4" t="n"/>
      <c r="O306" s="4" t="n"/>
      <c r="P306" s="4" t="n"/>
    </row>
    <row r="307">
      <c r="A307" s="4" t="n"/>
      <c r="B307" s="4" t="n"/>
      <c r="C307" s="6" t="n"/>
      <c r="D307" s="4" t="n"/>
      <c r="E307" s="4" t="n"/>
      <c r="F307" s="4" t="n"/>
      <c r="G307" s="6" t="n"/>
      <c r="H307" s="6" t="n"/>
      <c r="I307" s="6" t="n"/>
      <c r="J307" s="6" t="n"/>
      <c r="K307">
        <f>IF(OR(C307="",J307=""),"",NETWORKDAYS(C307,J307,Fériés!$A$2:$A$40)-1)</f>
        <v/>
      </c>
      <c r="L307">
        <f>IF(J307="","",IF(H307&lt;&gt;"",IF(J307&lt;=H307,"Oui","NON"),IF(K307&lt;=6,"Oui","NON")))</f>
        <v/>
      </c>
      <c r="M307" s="4" t="n"/>
      <c r="N307" s="4" t="n"/>
      <c r="O307" s="4" t="n"/>
      <c r="P307" s="4" t="n"/>
    </row>
    <row r="308">
      <c r="A308" s="4" t="n"/>
      <c r="B308" s="4" t="n"/>
      <c r="C308" s="6" t="n"/>
      <c r="D308" s="4" t="n"/>
      <c r="E308" s="4" t="n"/>
      <c r="F308" s="4" t="n"/>
      <c r="G308" s="6" t="n"/>
      <c r="H308" s="6" t="n"/>
      <c r="I308" s="6" t="n"/>
      <c r="J308" s="6" t="n"/>
      <c r="K308">
        <f>IF(OR(C308="",J308=""),"",NETWORKDAYS(C308,J308,Fériés!$A$2:$A$40)-1)</f>
        <v/>
      </c>
      <c r="L308">
        <f>IF(J308="","",IF(H308&lt;&gt;"",IF(J308&lt;=H308,"Oui","NON"),IF(K308&lt;=6,"Oui","NON")))</f>
        <v/>
      </c>
      <c r="M308" s="4" t="n"/>
      <c r="N308" s="4" t="n"/>
      <c r="O308" s="4" t="n"/>
      <c r="P308" s="4" t="n"/>
    </row>
    <row r="309">
      <c r="A309" s="4" t="n"/>
      <c r="B309" s="4" t="n"/>
      <c r="C309" s="6" t="n"/>
      <c r="D309" s="4" t="n"/>
      <c r="E309" s="4" t="n"/>
      <c r="F309" s="4" t="n"/>
      <c r="G309" s="6" t="n"/>
      <c r="H309" s="6" t="n"/>
      <c r="I309" s="6" t="n"/>
      <c r="J309" s="6" t="n"/>
      <c r="K309">
        <f>IF(OR(C309="",J309=""),"",NETWORKDAYS(C309,J309,Fériés!$A$2:$A$40)-1)</f>
        <v/>
      </c>
      <c r="L309">
        <f>IF(J309="","",IF(H309&lt;&gt;"",IF(J309&lt;=H309,"Oui","NON"),IF(K309&lt;=6,"Oui","NON")))</f>
        <v/>
      </c>
      <c r="M309" s="4" t="n"/>
      <c r="N309" s="4" t="n"/>
      <c r="O309" s="4" t="n"/>
      <c r="P309" s="4" t="n"/>
    </row>
    <row r="310">
      <c r="A310" s="4" t="n"/>
      <c r="B310" s="4" t="n"/>
      <c r="C310" s="6" t="n"/>
      <c r="D310" s="4" t="n"/>
      <c r="E310" s="4" t="n"/>
      <c r="F310" s="4" t="n"/>
      <c r="G310" s="6" t="n"/>
      <c r="H310" s="6" t="n"/>
      <c r="I310" s="6" t="n"/>
      <c r="J310" s="6" t="n"/>
      <c r="K310">
        <f>IF(OR(C310="",J310=""),"",NETWORKDAYS(C310,J310,Fériés!$A$2:$A$40)-1)</f>
        <v/>
      </c>
      <c r="L310">
        <f>IF(J310="","",IF(H310&lt;&gt;"",IF(J310&lt;=H310,"Oui","NON"),IF(K310&lt;=6,"Oui","NON")))</f>
        <v/>
      </c>
      <c r="M310" s="4" t="n"/>
      <c r="N310" s="4" t="n"/>
      <c r="O310" s="4" t="n"/>
      <c r="P310" s="4" t="n"/>
    </row>
    <row r="311">
      <c r="A311" s="4" t="n"/>
      <c r="B311" s="4" t="n"/>
      <c r="C311" s="6" t="n"/>
      <c r="D311" s="4" t="n"/>
      <c r="E311" s="4" t="n"/>
      <c r="F311" s="4" t="n"/>
      <c r="G311" s="6" t="n"/>
      <c r="H311" s="6" t="n"/>
      <c r="I311" s="6" t="n"/>
      <c r="J311" s="6" t="n"/>
      <c r="K311">
        <f>IF(OR(C311="",J311=""),"",NETWORKDAYS(C311,J311,Fériés!$A$2:$A$40)-1)</f>
        <v/>
      </c>
      <c r="L311">
        <f>IF(J311="","",IF(H311&lt;&gt;"",IF(J311&lt;=H311,"Oui","NON"),IF(K311&lt;=6,"Oui","NON")))</f>
        <v/>
      </c>
      <c r="M311" s="4" t="n"/>
      <c r="N311" s="4" t="n"/>
      <c r="O311" s="4" t="n"/>
      <c r="P311" s="4" t="n"/>
    </row>
    <row r="312">
      <c r="A312" s="4" t="n"/>
      <c r="B312" s="4" t="n"/>
      <c r="C312" s="6" t="n"/>
      <c r="D312" s="4" t="n"/>
      <c r="E312" s="4" t="n"/>
      <c r="F312" s="4" t="n"/>
      <c r="G312" s="6" t="n"/>
      <c r="H312" s="6" t="n"/>
      <c r="I312" s="6" t="n"/>
      <c r="J312" s="6" t="n"/>
      <c r="K312">
        <f>IF(OR(C312="",J312=""),"",NETWORKDAYS(C312,J312,Fériés!$A$2:$A$40)-1)</f>
        <v/>
      </c>
      <c r="L312">
        <f>IF(J312="","",IF(H312&lt;&gt;"",IF(J312&lt;=H312,"Oui","NON"),IF(K312&lt;=6,"Oui","NON")))</f>
        <v/>
      </c>
      <c r="M312" s="4" t="n"/>
      <c r="N312" s="4" t="n"/>
      <c r="O312" s="4" t="n"/>
      <c r="P312" s="4" t="n"/>
    </row>
    <row r="313">
      <c r="A313" s="4" t="n"/>
      <c r="B313" s="4" t="n"/>
      <c r="C313" s="6" t="n"/>
      <c r="D313" s="4" t="n"/>
      <c r="E313" s="4" t="n"/>
      <c r="F313" s="4" t="n"/>
      <c r="G313" s="6" t="n"/>
      <c r="H313" s="6" t="n"/>
      <c r="I313" s="6" t="n"/>
      <c r="J313" s="6" t="n"/>
      <c r="K313">
        <f>IF(OR(C313="",J313=""),"",NETWORKDAYS(C313,J313,Fériés!$A$2:$A$40)-1)</f>
        <v/>
      </c>
      <c r="L313">
        <f>IF(J313="","",IF(H313&lt;&gt;"",IF(J313&lt;=H313,"Oui","NON"),IF(K313&lt;=6,"Oui","NON")))</f>
        <v/>
      </c>
      <c r="M313" s="4" t="n"/>
      <c r="N313" s="4" t="n"/>
      <c r="O313" s="4" t="n"/>
      <c r="P313" s="4" t="n"/>
    </row>
    <row r="314">
      <c r="A314" s="4" t="n"/>
      <c r="B314" s="4" t="n"/>
      <c r="C314" s="6" t="n"/>
      <c r="D314" s="4" t="n"/>
      <c r="E314" s="4" t="n"/>
      <c r="F314" s="4" t="n"/>
      <c r="G314" s="6" t="n"/>
      <c r="H314" s="6" t="n"/>
      <c r="I314" s="6" t="n"/>
      <c r="J314" s="6" t="n"/>
      <c r="K314">
        <f>IF(OR(C314="",J314=""),"",NETWORKDAYS(C314,J314,Fériés!$A$2:$A$40)-1)</f>
        <v/>
      </c>
      <c r="L314">
        <f>IF(J314="","",IF(H314&lt;&gt;"",IF(J314&lt;=H314,"Oui","NON"),IF(K314&lt;=6,"Oui","NON")))</f>
        <v/>
      </c>
      <c r="M314" s="4" t="n"/>
      <c r="N314" s="4" t="n"/>
      <c r="O314" s="4" t="n"/>
      <c r="P314" s="4" t="n"/>
    </row>
    <row r="315">
      <c r="A315" s="4" t="n"/>
      <c r="B315" s="4" t="n"/>
      <c r="C315" s="6" t="n"/>
      <c r="D315" s="4" t="n"/>
      <c r="E315" s="4" t="n"/>
      <c r="F315" s="4" t="n"/>
      <c r="G315" s="6" t="n"/>
      <c r="H315" s="6" t="n"/>
      <c r="I315" s="6" t="n"/>
      <c r="J315" s="6" t="n"/>
      <c r="K315">
        <f>IF(OR(C315="",J315=""),"",NETWORKDAYS(C315,J315,Fériés!$A$2:$A$40)-1)</f>
        <v/>
      </c>
      <c r="L315">
        <f>IF(J315="","",IF(H315&lt;&gt;"",IF(J315&lt;=H315,"Oui","NON"),IF(K315&lt;=6,"Oui","NON")))</f>
        <v/>
      </c>
      <c r="M315" s="4" t="n"/>
      <c r="N315" s="4" t="n"/>
      <c r="O315" s="4" t="n"/>
      <c r="P315" s="4" t="n"/>
    </row>
    <row r="316">
      <c r="A316" s="4" t="n"/>
      <c r="B316" s="4" t="n"/>
      <c r="C316" s="6" t="n"/>
      <c r="D316" s="4" t="n"/>
      <c r="E316" s="4" t="n"/>
      <c r="F316" s="4" t="n"/>
      <c r="G316" s="6" t="n"/>
      <c r="H316" s="6" t="n"/>
      <c r="I316" s="6" t="n"/>
      <c r="J316" s="6" t="n"/>
      <c r="K316">
        <f>IF(OR(C316="",J316=""),"",NETWORKDAYS(C316,J316,Fériés!$A$2:$A$40)-1)</f>
        <v/>
      </c>
      <c r="L316">
        <f>IF(J316="","",IF(H316&lt;&gt;"",IF(J316&lt;=H316,"Oui","NON"),IF(K316&lt;=6,"Oui","NON")))</f>
        <v/>
      </c>
      <c r="M316" s="4" t="n"/>
      <c r="N316" s="4" t="n"/>
      <c r="O316" s="4" t="n"/>
      <c r="P316" s="4" t="n"/>
    </row>
    <row r="317">
      <c r="A317" s="4" t="n"/>
      <c r="B317" s="4" t="n"/>
      <c r="C317" s="6" t="n"/>
      <c r="D317" s="4" t="n"/>
      <c r="E317" s="4" t="n"/>
      <c r="F317" s="4" t="n"/>
      <c r="G317" s="6" t="n"/>
      <c r="H317" s="6" t="n"/>
      <c r="I317" s="6" t="n"/>
      <c r="J317" s="6" t="n"/>
      <c r="K317">
        <f>IF(OR(C317="",J317=""),"",NETWORKDAYS(C317,J317,Fériés!$A$2:$A$40)-1)</f>
        <v/>
      </c>
      <c r="L317">
        <f>IF(J317="","",IF(H317&lt;&gt;"",IF(J317&lt;=H317,"Oui","NON"),IF(K317&lt;=6,"Oui","NON")))</f>
        <v/>
      </c>
      <c r="M317" s="4" t="n"/>
      <c r="N317" s="4" t="n"/>
      <c r="O317" s="4" t="n"/>
      <c r="P317" s="4" t="n"/>
    </row>
    <row r="318">
      <c r="A318" s="4" t="n"/>
      <c r="B318" s="4" t="n"/>
      <c r="C318" s="6" t="n"/>
      <c r="D318" s="4" t="n"/>
      <c r="E318" s="4" t="n"/>
      <c r="F318" s="4" t="n"/>
      <c r="G318" s="6" t="n"/>
      <c r="H318" s="6" t="n"/>
      <c r="I318" s="6" t="n"/>
      <c r="J318" s="6" t="n"/>
      <c r="K318">
        <f>IF(OR(C318="",J318=""),"",NETWORKDAYS(C318,J318,Fériés!$A$2:$A$40)-1)</f>
        <v/>
      </c>
      <c r="L318">
        <f>IF(J318="","",IF(H318&lt;&gt;"",IF(J318&lt;=H318,"Oui","NON"),IF(K318&lt;=6,"Oui","NON")))</f>
        <v/>
      </c>
      <c r="M318" s="4" t="n"/>
      <c r="N318" s="4" t="n"/>
      <c r="O318" s="4" t="n"/>
      <c r="P318" s="4" t="n"/>
    </row>
    <row r="319">
      <c r="A319" s="4" t="n"/>
      <c r="B319" s="4" t="n"/>
      <c r="C319" s="6" t="n"/>
      <c r="D319" s="4" t="n"/>
      <c r="E319" s="4" t="n"/>
      <c r="F319" s="4" t="n"/>
      <c r="G319" s="6" t="n"/>
      <c r="H319" s="6" t="n"/>
      <c r="I319" s="6" t="n"/>
      <c r="J319" s="6" t="n"/>
      <c r="K319">
        <f>IF(OR(C319="",J319=""),"",NETWORKDAYS(C319,J319,Fériés!$A$2:$A$40)-1)</f>
        <v/>
      </c>
      <c r="L319">
        <f>IF(J319="","",IF(H319&lt;&gt;"",IF(J319&lt;=H319,"Oui","NON"),IF(K319&lt;=6,"Oui","NON")))</f>
        <v/>
      </c>
      <c r="M319" s="4" t="n"/>
      <c r="N319" s="4" t="n"/>
      <c r="O319" s="4" t="n"/>
      <c r="P319" s="4" t="n"/>
    </row>
    <row r="320">
      <c r="A320" s="4" t="n"/>
      <c r="B320" s="4" t="n"/>
      <c r="C320" s="6" t="n"/>
      <c r="D320" s="4" t="n"/>
      <c r="E320" s="4" t="n"/>
      <c r="F320" s="4" t="n"/>
      <c r="G320" s="6" t="n"/>
      <c r="H320" s="6" t="n"/>
      <c r="I320" s="6" t="n"/>
      <c r="J320" s="6" t="n"/>
      <c r="K320">
        <f>IF(OR(C320="",J320=""),"",NETWORKDAYS(C320,J320,Fériés!$A$2:$A$40)-1)</f>
        <v/>
      </c>
      <c r="L320">
        <f>IF(J320="","",IF(H320&lt;&gt;"",IF(J320&lt;=H320,"Oui","NON"),IF(K320&lt;=6,"Oui","NON")))</f>
        <v/>
      </c>
      <c r="M320" s="4" t="n"/>
      <c r="N320" s="4" t="n"/>
      <c r="O320" s="4" t="n"/>
      <c r="P320" s="4" t="n"/>
    </row>
    <row r="321">
      <c r="A321" s="4" t="n"/>
      <c r="B321" s="4" t="n"/>
      <c r="C321" s="6" t="n"/>
      <c r="D321" s="4" t="n"/>
      <c r="E321" s="4" t="n"/>
      <c r="F321" s="4" t="n"/>
      <c r="G321" s="6" t="n"/>
      <c r="H321" s="6" t="n"/>
      <c r="I321" s="6" t="n"/>
      <c r="J321" s="6" t="n"/>
      <c r="K321">
        <f>IF(OR(C321="",J321=""),"",NETWORKDAYS(C321,J321,Fériés!$A$2:$A$40)-1)</f>
        <v/>
      </c>
      <c r="L321">
        <f>IF(J321="","",IF(H321&lt;&gt;"",IF(J321&lt;=H321,"Oui","NON"),IF(K321&lt;=6,"Oui","NON")))</f>
        <v/>
      </c>
      <c r="M321" s="4" t="n"/>
      <c r="N321" s="4" t="n"/>
      <c r="O321" s="4" t="n"/>
      <c r="P321" s="4" t="n"/>
    </row>
    <row r="322">
      <c r="A322" s="4" t="n"/>
      <c r="B322" s="4" t="n"/>
      <c r="C322" s="6" t="n"/>
      <c r="D322" s="4" t="n"/>
      <c r="E322" s="4" t="n"/>
      <c r="F322" s="4" t="n"/>
      <c r="G322" s="6" t="n"/>
      <c r="H322" s="6" t="n"/>
      <c r="I322" s="6" t="n"/>
      <c r="J322" s="6" t="n"/>
      <c r="K322">
        <f>IF(OR(C322="",J322=""),"",NETWORKDAYS(C322,J322,Fériés!$A$2:$A$40)-1)</f>
        <v/>
      </c>
      <c r="L322">
        <f>IF(J322="","",IF(H322&lt;&gt;"",IF(J322&lt;=H322,"Oui","NON"),IF(K322&lt;=6,"Oui","NON")))</f>
        <v/>
      </c>
      <c r="M322" s="4" t="n"/>
      <c r="N322" s="4" t="n"/>
      <c r="O322" s="4" t="n"/>
      <c r="P322" s="4" t="n"/>
    </row>
    <row r="323">
      <c r="A323" s="4" t="n"/>
      <c r="B323" s="4" t="n"/>
      <c r="C323" s="6" t="n"/>
      <c r="D323" s="4" t="n"/>
      <c r="E323" s="4" t="n"/>
      <c r="F323" s="4" t="n"/>
      <c r="G323" s="6" t="n"/>
      <c r="H323" s="6" t="n"/>
      <c r="I323" s="6" t="n"/>
      <c r="J323" s="6" t="n"/>
      <c r="K323">
        <f>IF(OR(C323="",J323=""),"",NETWORKDAYS(C323,J323,Fériés!$A$2:$A$40)-1)</f>
        <v/>
      </c>
      <c r="L323">
        <f>IF(J323="","",IF(H323&lt;&gt;"",IF(J323&lt;=H323,"Oui","NON"),IF(K323&lt;=6,"Oui","NON")))</f>
        <v/>
      </c>
      <c r="M323" s="4" t="n"/>
      <c r="N323" s="4" t="n"/>
      <c r="O323" s="4" t="n"/>
      <c r="P323" s="4" t="n"/>
    </row>
    <row r="324">
      <c r="A324" s="4" t="n"/>
      <c r="B324" s="4" t="n"/>
      <c r="C324" s="6" t="n"/>
      <c r="D324" s="4" t="n"/>
      <c r="E324" s="4" t="n"/>
      <c r="F324" s="4" t="n"/>
      <c r="G324" s="6" t="n"/>
      <c r="H324" s="6" t="n"/>
      <c r="I324" s="6" t="n"/>
      <c r="J324" s="6" t="n"/>
      <c r="K324">
        <f>IF(OR(C324="",J324=""),"",NETWORKDAYS(C324,J324,Fériés!$A$2:$A$40)-1)</f>
        <v/>
      </c>
      <c r="L324">
        <f>IF(J324="","",IF(H324&lt;&gt;"",IF(J324&lt;=H324,"Oui","NON"),IF(K324&lt;=6,"Oui","NON")))</f>
        <v/>
      </c>
      <c r="M324" s="4" t="n"/>
      <c r="N324" s="4" t="n"/>
      <c r="O324" s="4" t="n"/>
      <c r="P324" s="4" t="n"/>
    </row>
    <row r="325">
      <c r="A325" s="4" t="n"/>
      <c r="B325" s="4" t="n"/>
      <c r="C325" s="6" t="n"/>
      <c r="D325" s="4" t="n"/>
      <c r="E325" s="4" t="n"/>
      <c r="F325" s="4" t="n"/>
      <c r="G325" s="6" t="n"/>
      <c r="H325" s="6" t="n"/>
      <c r="I325" s="6" t="n"/>
      <c r="J325" s="6" t="n"/>
      <c r="K325">
        <f>IF(OR(C325="",J325=""),"",NETWORKDAYS(C325,J325,Fériés!$A$2:$A$40)-1)</f>
        <v/>
      </c>
      <c r="L325">
        <f>IF(J325="","",IF(H325&lt;&gt;"",IF(J325&lt;=H325,"Oui","NON"),IF(K325&lt;=6,"Oui","NON")))</f>
        <v/>
      </c>
      <c r="M325" s="4" t="n"/>
      <c r="N325" s="4" t="n"/>
      <c r="O325" s="4" t="n"/>
      <c r="P325" s="4" t="n"/>
    </row>
    <row r="326">
      <c r="A326" s="4" t="n"/>
      <c r="B326" s="4" t="n"/>
      <c r="C326" s="6" t="n"/>
      <c r="D326" s="4" t="n"/>
      <c r="E326" s="4" t="n"/>
      <c r="F326" s="4" t="n"/>
      <c r="G326" s="6" t="n"/>
      <c r="H326" s="6" t="n"/>
      <c r="I326" s="6" t="n"/>
      <c r="J326" s="6" t="n"/>
      <c r="K326">
        <f>IF(OR(C326="",J326=""),"",NETWORKDAYS(C326,J326,Fériés!$A$2:$A$40)-1)</f>
        <v/>
      </c>
      <c r="L326">
        <f>IF(J326="","",IF(H326&lt;&gt;"",IF(J326&lt;=H326,"Oui","NON"),IF(K326&lt;=6,"Oui","NON")))</f>
        <v/>
      </c>
      <c r="M326" s="4" t="n"/>
      <c r="N326" s="4" t="n"/>
      <c r="O326" s="4" t="n"/>
      <c r="P326" s="4" t="n"/>
    </row>
    <row r="327">
      <c r="A327" s="4" t="n"/>
      <c r="B327" s="4" t="n"/>
      <c r="C327" s="6" t="n"/>
      <c r="D327" s="4" t="n"/>
      <c r="E327" s="4" t="n"/>
      <c r="F327" s="4" t="n"/>
      <c r="G327" s="6" t="n"/>
      <c r="H327" s="6" t="n"/>
      <c r="I327" s="6" t="n"/>
      <c r="J327" s="6" t="n"/>
      <c r="K327">
        <f>IF(OR(C327="",J327=""),"",NETWORKDAYS(C327,J327,Fériés!$A$2:$A$40)-1)</f>
        <v/>
      </c>
      <c r="L327">
        <f>IF(J327="","",IF(H327&lt;&gt;"",IF(J327&lt;=H327,"Oui","NON"),IF(K327&lt;=6,"Oui","NON")))</f>
        <v/>
      </c>
      <c r="M327" s="4" t="n"/>
      <c r="N327" s="4" t="n"/>
      <c r="O327" s="4" t="n"/>
      <c r="P327" s="4" t="n"/>
    </row>
    <row r="328">
      <c r="A328" s="4" t="n"/>
      <c r="B328" s="4" t="n"/>
      <c r="C328" s="6" t="n"/>
      <c r="D328" s="4" t="n"/>
      <c r="E328" s="4" t="n"/>
      <c r="F328" s="4" t="n"/>
      <c r="G328" s="6" t="n"/>
      <c r="H328" s="6" t="n"/>
      <c r="I328" s="6" t="n"/>
      <c r="J328" s="6" t="n"/>
      <c r="K328">
        <f>IF(OR(C328="",J328=""),"",NETWORKDAYS(C328,J328,Fériés!$A$2:$A$40)-1)</f>
        <v/>
      </c>
      <c r="L328">
        <f>IF(J328="","",IF(H328&lt;&gt;"",IF(J328&lt;=H328,"Oui","NON"),IF(K328&lt;=6,"Oui","NON")))</f>
        <v/>
      </c>
      <c r="M328" s="4" t="n"/>
      <c r="N328" s="4" t="n"/>
      <c r="O328" s="4" t="n"/>
      <c r="P328" s="4" t="n"/>
    </row>
    <row r="329">
      <c r="A329" s="4" t="n"/>
      <c r="B329" s="4" t="n"/>
      <c r="C329" s="6" t="n"/>
      <c r="D329" s="4" t="n"/>
      <c r="E329" s="4" t="n"/>
      <c r="F329" s="4" t="n"/>
      <c r="G329" s="6" t="n"/>
      <c r="H329" s="6" t="n"/>
      <c r="I329" s="6" t="n"/>
      <c r="J329" s="6" t="n"/>
      <c r="K329">
        <f>IF(OR(C329="",J329=""),"",NETWORKDAYS(C329,J329,Fériés!$A$2:$A$40)-1)</f>
        <v/>
      </c>
      <c r="L329">
        <f>IF(J329="","",IF(H329&lt;&gt;"",IF(J329&lt;=H329,"Oui","NON"),IF(K329&lt;=6,"Oui","NON")))</f>
        <v/>
      </c>
      <c r="M329" s="4" t="n"/>
      <c r="N329" s="4" t="n"/>
      <c r="O329" s="4" t="n"/>
      <c r="P329" s="4" t="n"/>
    </row>
    <row r="330">
      <c r="A330" s="4" t="n"/>
      <c r="B330" s="4" t="n"/>
      <c r="C330" s="6" t="n"/>
      <c r="D330" s="4" t="n"/>
      <c r="E330" s="4" t="n"/>
      <c r="F330" s="4" t="n"/>
      <c r="G330" s="6" t="n"/>
      <c r="H330" s="6" t="n"/>
      <c r="I330" s="6" t="n"/>
      <c r="J330" s="6" t="n"/>
      <c r="K330">
        <f>IF(OR(C330="",J330=""),"",NETWORKDAYS(C330,J330,Fériés!$A$2:$A$40)-1)</f>
        <v/>
      </c>
      <c r="L330">
        <f>IF(J330="","",IF(H330&lt;&gt;"",IF(J330&lt;=H330,"Oui","NON"),IF(K330&lt;=6,"Oui","NON")))</f>
        <v/>
      </c>
      <c r="M330" s="4" t="n"/>
      <c r="N330" s="4" t="n"/>
      <c r="O330" s="4" t="n"/>
      <c r="P330" s="4" t="n"/>
    </row>
    <row r="331">
      <c r="A331" s="4" t="n"/>
      <c r="B331" s="4" t="n"/>
      <c r="C331" s="6" t="n"/>
      <c r="D331" s="4" t="n"/>
      <c r="E331" s="4" t="n"/>
      <c r="F331" s="4" t="n"/>
      <c r="G331" s="6" t="n"/>
      <c r="H331" s="6" t="n"/>
      <c r="I331" s="6" t="n"/>
      <c r="J331" s="6" t="n"/>
      <c r="K331">
        <f>IF(OR(C331="",J331=""),"",NETWORKDAYS(C331,J331,Fériés!$A$2:$A$40)-1)</f>
        <v/>
      </c>
      <c r="L331">
        <f>IF(J331="","",IF(H331&lt;&gt;"",IF(J331&lt;=H331,"Oui","NON"),IF(K331&lt;=6,"Oui","NON")))</f>
        <v/>
      </c>
      <c r="M331" s="4" t="n"/>
      <c r="N331" s="4" t="n"/>
      <c r="O331" s="4" t="n"/>
      <c r="P331" s="4" t="n"/>
    </row>
    <row r="332">
      <c r="A332" s="4" t="n"/>
      <c r="B332" s="4" t="n"/>
      <c r="C332" s="6" t="n"/>
      <c r="D332" s="4" t="n"/>
      <c r="E332" s="4" t="n"/>
      <c r="F332" s="4" t="n"/>
      <c r="G332" s="6" t="n"/>
      <c r="H332" s="6" t="n"/>
      <c r="I332" s="6" t="n"/>
      <c r="J332" s="6" t="n"/>
      <c r="K332">
        <f>IF(OR(C332="",J332=""),"",NETWORKDAYS(C332,J332,Fériés!$A$2:$A$40)-1)</f>
        <v/>
      </c>
      <c r="L332">
        <f>IF(J332="","",IF(H332&lt;&gt;"",IF(J332&lt;=H332,"Oui","NON"),IF(K332&lt;=6,"Oui","NON")))</f>
        <v/>
      </c>
      <c r="M332" s="4" t="n"/>
      <c r="N332" s="4" t="n"/>
      <c r="O332" s="4" t="n"/>
      <c r="P332" s="4" t="n"/>
    </row>
    <row r="333">
      <c r="A333" s="4" t="n"/>
      <c r="B333" s="4" t="n"/>
      <c r="C333" s="6" t="n"/>
      <c r="D333" s="4" t="n"/>
      <c r="E333" s="4" t="n"/>
      <c r="F333" s="4" t="n"/>
      <c r="G333" s="6" t="n"/>
      <c r="H333" s="6" t="n"/>
      <c r="I333" s="6" t="n"/>
      <c r="J333" s="6" t="n"/>
      <c r="K333">
        <f>IF(OR(C333="",J333=""),"",NETWORKDAYS(C333,J333,Fériés!$A$2:$A$40)-1)</f>
        <v/>
      </c>
      <c r="L333">
        <f>IF(J333="","",IF(H333&lt;&gt;"",IF(J333&lt;=H333,"Oui","NON"),IF(K333&lt;=6,"Oui","NON")))</f>
        <v/>
      </c>
      <c r="M333" s="4" t="n"/>
      <c r="N333" s="4" t="n"/>
      <c r="O333" s="4" t="n"/>
      <c r="P333" s="4" t="n"/>
    </row>
    <row r="334">
      <c r="A334" s="4" t="n"/>
      <c r="B334" s="4" t="n"/>
      <c r="C334" s="6" t="n"/>
      <c r="D334" s="4" t="n"/>
      <c r="E334" s="4" t="n"/>
      <c r="F334" s="4" t="n"/>
      <c r="G334" s="6" t="n"/>
      <c r="H334" s="6" t="n"/>
      <c r="I334" s="6" t="n"/>
      <c r="J334" s="6" t="n"/>
      <c r="K334">
        <f>IF(OR(C334="",J334=""),"",NETWORKDAYS(C334,J334,Fériés!$A$2:$A$40)-1)</f>
        <v/>
      </c>
      <c r="L334">
        <f>IF(J334="","",IF(H334&lt;&gt;"",IF(J334&lt;=H334,"Oui","NON"),IF(K334&lt;=6,"Oui","NON")))</f>
        <v/>
      </c>
      <c r="M334" s="4" t="n"/>
      <c r="N334" s="4" t="n"/>
      <c r="O334" s="4" t="n"/>
      <c r="P334" s="4" t="n"/>
    </row>
    <row r="335">
      <c r="A335" s="4" t="n"/>
      <c r="B335" s="4" t="n"/>
      <c r="C335" s="6" t="n"/>
      <c r="D335" s="4" t="n"/>
      <c r="E335" s="4" t="n"/>
      <c r="F335" s="4" t="n"/>
      <c r="G335" s="6" t="n"/>
      <c r="H335" s="6" t="n"/>
      <c r="I335" s="6" t="n"/>
      <c r="J335" s="6" t="n"/>
      <c r="K335">
        <f>IF(OR(C335="",J335=""),"",NETWORKDAYS(C335,J335,Fériés!$A$2:$A$40)-1)</f>
        <v/>
      </c>
      <c r="L335">
        <f>IF(J335="","",IF(H335&lt;&gt;"",IF(J335&lt;=H335,"Oui","NON"),IF(K335&lt;=6,"Oui","NON")))</f>
        <v/>
      </c>
      <c r="M335" s="4" t="n"/>
      <c r="N335" s="4" t="n"/>
      <c r="O335" s="4" t="n"/>
      <c r="P335" s="4" t="n"/>
    </row>
    <row r="336">
      <c r="A336" s="4" t="n"/>
      <c r="B336" s="4" t="n"/>
      <c r="C336" s="6" t="n"/>
      <c r="D336" s="4" t="n"/>
      <c r="E336" s="4" t="n"/>
      <c r="F336" s="4" t="n"/>
      <c r="G336" s="6" t="n"/>
      <c r="H336" s="6" t="n"/>
      <c r="I336" s="6" t="n"/>
      <c r="J336" s="6" t="n"/>
      <c r="K336">
        <f>IF(OR(C336="",J336=""),"",NETWORKDAYS(C336,J336,Fériés!$A$2:$A$40)-1)</f>
        <v/>
      </c>
      <c r="L336">
        <f>IF(J336="","",IF(H336&lt;&gt;"",IF(J336&lt;=H336,"Oui","NON"),IF(K336&lt;=6,"Oui","NON")))</f>
        <v/>
      </c>
      <c r="M336" s="4" t="n"/>
      <c r="N336" s="4" t="n"/>
      <c r="O336" s="4" t="n"/>
      <c r="P336" s="4" t="n"/>
    </row>
    <row r="337">
      <c r="A337" s="4" t="n"/>
      <c r="B337" s="4" t="n"/>
      <c r="C337" s="6" t="n"/>
      <c r="D337" s="4" t="n"/>
      <c r="E337" s="4" t="n"/>
      <c r="F337" s="4" t="n"/>
      <c r="G337" s="6" t="n"/>
      <c r="H337" s="6" t="n"/>
      <c r="I337" s="6" t="n"/>
      <c r="J337" s="6" t="n"/>
      <c r="K337">
        <f>IF(OR(C337="",J337=""),"",NETWORKDAYS(C337,J337,Fériés!$A$2:$A$40)-1)</f>
        <v/>
      </c>
      <c r="L337">
        <f>IF(J337="","",IF(H337&lt;&gt;"",IF(J337&lt;=H337,"Oui","NON"),IF(K337&lt;=6,"Oui","NON")))</f>
        <v/>
      </c>
      <c r="M337" s="4" t="n"/>
      <c r="N337" s="4" t="n"/>
      <c r="O337" s="4" t="n"/>
      <c r="P337" s="4" t="n"/>
    </row>
    <row r="338">
      <c r="A338" s="4" t="n"/>
      <c r="B338" s="4" t="n"/>
      <c r="C338" s="6" t="n"/>
      <c r="D338" s="4" t="n"/>
      <c r="E338" s="4" t="n"/>
      <c r="F338" s="4" t="n"/>
      <c r="G338" s="6" t="n"/>
      <c r="H338" s="6" t="n"/>
      <c r="I338" s="6" t="n"/>
      <c r="J338" s="6" t="n"/>
      <c r="K338">
        <f>IF(OR(C338="",J338=""),"",NETWORKDAYS(C338,J338,Fériés!$A$2:$A$40)-1)</f>
        <v/>
      </c>
      <c r="L338">
        <f>IF(J338="","",IF(H338&lt;&gt;"",IF(J338&lt;=H338,"Oui","NON"),IF(K338&lt;=6,"Oui","NON")))</f>
        <v/>
      </c>
      <c r="M338" s="4" t="n"/>
      <c r="N338" s="4" t="n"/>
      <c r="O338" s="4" t="n"/>
      <c r="P338" s="4" t="n"/>
    </row>
    <row r="339">
      <c r="A339" s="4" t="n"/>
      <c r="B339" s="4" t="n"/>
      <c r="C339" s="6" t="n"/>
      <c r="D339" s="4" t="n"/>
      <c r="E339" s="4" t="n"/>
      <c r="F339" s="4" t="n"/>
      <c r="G339" s="6" t="n"/>
      <c r="H339" s="6" t="n"/>
      <c r="I339" s="6" t="n"/>
      <c r="J339" s="6" t="n"/>
      <c r="K339">
        <f>IF(OR(C339="",J339=""),"",NETWORKDAYS(C339,J339,Fériés!$A$2:$A$40)-1)</f>
        <v/>
      </c>
      <c r="L339">
        <f>IF(J339="","",IF(H339&lt;&gt;"",IF(J339&lt;=H339,"Oui","NON"),IF(K339&lt;=6,"Oui","NON")))</f>
        <v/>
      </c>
      <c r="M339" s="4" t="n"/>
      <c r="N339" s="4" t="n"/>
      <c r="O339" s="4" t="n"/>
      <c r="P339" s="4" t="n"/>
    </row>
    <row r="340">
      <c r="A340" s="4" t="n"/>
      <c r="B340" s="4" t="n"/>
      <c r="C340" s="6" t="n"/>
      <c r="D340" s="4" t="n"/>
      <c r="E340" s="4" t="n"/>
      <c r="F340" s="4" t="n"/>
      <c r="G340" s="6" t="n"/>
      <c r="H340" s="6" t="n"/>
      <c r="I340" s="6" t="n"/>
      <c r="J340" s="6" t="n"/>
      <c r="K340">
        <f>IF(OR(C340="",J340=""),"",NETWORKDAYS(C340,J340,Fériés!$A$2:$A$40)-1)</f>
        <v/>
      </c>
      <c r="L340">
        <f>IF(J340="","",IF(H340&lt;&gt;"",IF(J340&lt;=H340,"Oui","NON"),IF(K340&lt;=6,"Oui","NON")))</f>
        <v/>
      </c>
      <c r="M340" s="4" t="n"/>
      <c r="N340" s="4" t="n"/>
      <c r="O340" s="4" t="n"/>
      <c r="P340" s="4" t="n"/>
    </row>
    <row r="341">
      <c r="A341" s="4" t="n"/>
      <c r="B341" s="4" t="n"/>
      <c r="C341" s="6" t="n"/>
      <c r="D341" s="4" t="n"/>
      <c r="E341" s="4" t="n"/>
      <c r="F341" s="4" t="n"/>
      <c r="G341" s="6" t="n"/>
      <c r="H341" s="6" t="n"/>
      <c r="I341" s="6" t="n"/>
      <c r="J341" s="6" t="n"/>
      <c r="K341">
        <f>IF(OR(C341="",J341=""),"",NETWORKDAYS(C341,J341,Fériés!$A$2:$A$40)-1)</f>
        <v/>
      </c>
      <c r="L341">
        <f>IF(J341="","",IF(H341&lt;&gt;"",IF(J341&lt;=H341,"Oui","NON"),IF(K341&lt;=6,"Oui","NON")))</f>
        <v/>
      </c>
      <c r="M341" s="4" t="n"/>
      <c r="N341" s="4" t="n"/>
      <c r="O341" s="4" t="n"/>
      <c r="P341" s="4" t="n"/>
    </row>
    <row r="342">
      <c r="A342" s="4" t="n"/>
      <c r="B342" s="4" t="n"/>
      <c r="C342" s="6" t="n"/>
      <c r="D342" s="4" t="n"/>
      <c r="E342" s="4" t="n"/>
      <c r="F342" s="4" t="n"/>
      <c r="G342" s="6" t="n"/>
      <c r="H342" s="6" t="n"/>
      <c r="I342" s="6" t="n"/>
      <c r="J342" s="6" t="n"/>
      <c r="K342">
        <f>IF(OR(C342="",J342=""),"",NETWORKDAYS(C342,J342,Fériés!$A$2:$A$40)-1)</f>
        <v/>
      </c>
      <c r="L342">
        <f>IF(J342="","",IF(H342&lt;&gt;"",IF(J342&lt;=H342,"Oui","NON"),IF(K342&lt;=6,"Oui","NON")))</f>
        <v/>
      </c>
      <c r="M342" s="4" t="n"/>
      <c r="N342" s="4" t="n"/>
      <c r="O342" s="4" t="n"/>
      <c r="P342" s="4" t="n"/>
    </row>
    <row r="343">
      <c r="A343" s="4" t="n"/>
      <c r="B343" s="4" t="n"/>
      <c r="C343" s="6" t="n"/>
      <c r="D343" s="4" t="n"/>
      <c r="E343" s="4" t="n"/>
      <c r="F343" s="4" t="n"/>
      <c r="G343" s="6" t="n"/>
      <c r="H343" s="6" t="n"/>
      <c r="I343" s="6" t="n"/>
      <c r="J343" s="6" t="n"/>
      <c r="K343">
        <f>IF(OR(C343="",J343=""),"",NETWORKDAYS(C343,J343,Fériés!$A$2:$A$40)-1)</f>
        <v/>
      </c>
      <c r="L343">
        <f>IF(J343="","",IF(H343&lt;&gt;"",IF(J343&lt;=H343,"Oui","NON"),IF(K343&lt;=6,"Oui","NON")))</f>
        <v/>
      </c>
      <c r="M343" s="4" t="n"/>
      <c r="N343" s="4" t="n"/>
      <c r="O343" s="4" t="n"/>
      <c r="P343" s="4" t="n"/>
    </row>
    <row r="344">
      <c r="A344" s="4" t="n"/>
      <c r="B344" s="4" t="n"/>
      <c r="C344" s="6" t="n"/>
      <c r="D344" s="4" t="n"/>
      <c r="E344" s="4" t="n"/>
      <c r="F344" s="4" t="n"/>
      <c r="G344" s="6" t="n"/>
      <c r="H344" s="6" t="n"/>
      <c r="I344" s="6" t="n"/>
      <c r="J344" s="6" t="n"/>
      <c r="K344">
        <f>IF(OR(C344="",J344=""),"",NETWORKDAYS(C344,J344,Fériés!$A$2:$A$40)-1)</f>
        <v/>
      </c>
      <c r="L344">
        <f>IF(J344="","",IF(H344&lt;&gt;"",IF(J344&lt;=H344,"Oui","NON"),IF(K344&lt;=6,"Oui","NON")))</f>
        <v/>
      </c>
      <c r="M344" s="4" t="n"/>
      <c r="N344" s="4" t="n"/>
      <c r="O344" s="4" t="n"/>
      <c r="P344" s="4" t="n"/>
    </row>
    <row r="345">
      <c r="A345" s="4" t="n"/>
      <c r="B345" s="4" t="n"/>
      <c r="C345" s="6" t="n"/>
      <c r="D345" s="4" t="n"/>
      <c r="E345" s="4" t="n"/>
      <c r="F345" s="4" t="n"/>
      <c r="G345" s="6" t="n"/>
      <c r="H345" s="6" t="n"/>
      <c r="I345" s="6" t="n"/>
      <c r="J345" s="6" t="n"/>
      <c r="K345">
        <f>IF(OR(C345="",J345=""),"",NETWORKDAYS(C345,J345,Fériés!$A$2:$A$40)-1)</f>
        <v/>
      </c>
      <c r="L345">
        <f>IF(J345="","",IF(H345&lt;&gt;"",IF(J345&lt;=H345,"Oui","NON"),IF(K345&lt;=6,"Oui","NON")))</f>
        <v/>
      </c>
      <c r="M345" s="4" t="n"/>
      <c r="N345" s="4" t="n"/>
      <c r="O345" s="4" t="n"/>
      <c r="P345" s="4" t="n"/>
    </row>
    <row r="346">
      <c r="A346" s="4" t="n"/>
      <c r="B346" s="4" t="n"/>
      <c r="C346" s="6" t="n"/>
      <c r="D346" s="4" t="n"/>
      <c r="E346" s="4" t="n"/>
      <c r="F346" s="4" t="n"/>
      <c r="G346" s="6" t="n"/>
      <c r="H346" s="6" t="n"/>
      <c r="I346" s="6" t="n"/>
      <c r="J346" s="6" t="n"/>
      <c r="K346">
        <f>IF(OR(C346="",J346=""),"",NETWORKDAYS(C346,J346,Fériés!$A$2:$A$40)-1)</f>
        <v/>
      </c>
      <c r="L346">
        <f>IF(J346="","",IF(H346&lt;&gt;"",IF(J346&lt;=H346,"Oui","NON"),IF(K346&lt;=6,"Oui","NON")))</f>
        <v/>
      </c>
      <c r="M346" s="4" t="n"/>
      <c r="N346" s="4" t="n"/>
      <c r="O346" s="4" t="n"/>
      <c r="P346" s="4" t="n"/>
    </row>
    <row r="347">
      <c r="A347" s="4" t="n"/>
      <c r="B347" s="4" t="n"/>
      <c r="C347" s="6" t="n"/>
      <c r="D347" s="4" t="n"/>
      <c r="E347" s="4" t="n"/>
      <c r="F347" s="4" t="n"/>
      <c r="G347" s="6" t="n"/>
      <c r="H347" s="6" t="n"/>
      <c r="I347" s="6" t="n"/>
      <c r="J347" s="6" t="n"/>
      <c r="K347">
        <f>IF(OR(C347="",J347=""),"",NETWORKDAYS(C347,J347,Fériés!$A$2:$A$40)-1)</f>
        <v/>
      </c>
      <c r="L347">
        <f>IF(J347="","",IF(H347&lt;&gt;"",IF(J347&lt;=H347,"Oui","NON"),IF(K347&lt;=6,"Oui","NON")))</f>
        <v/>
      </c>
      <c r="M347" s="4" t="n"/>
      <c r="N347" s="4" t="n"/>
      <c r="O347" s="4" t="n"/>
      <c r="P347" s="4" t="n"/>
    </row>
    <row r="348">
      <c r="A348" s="4" t="n"/>
      <c r="B348" s="4" t="n"/>
      <c r="C348" s="6" t="n"/>
      <c r="D348" s="4" t="n"/>
      <c r="E348" s="4" t="n"/>
      <c r="F348" s="4" t="n"/>
      <c r="G348" s="6" t="n"/>
      <c r="H348" s="6" t="n"/>
      <c r="I348" s="6" t="n"/>
      <c r="J348" s="6" t="n"/>
      <c r="K348">
        <f>IF(OR(C348="",J348=""),"",NETWORKDAYS(C348,J348,Fériés!$A$2:$A$40)-1)</f>
        <v/>
      </c>
      <c r="L348">
        <f>IF(J348="","",IF(H348&lt;&gt;"",IF(J348&lt;=H348,"Oui","NON"),IF(K348&lt;=6,"Oui","NON")))</f>
        <v/>
      </c>
      <c r="M348" s="4" t="n"/>
      <c r="N348" s="4" t="n"/>
      <c r="O348" s="4" t="n"/>
      <c r="P348" s="4" t="n"/>
    </row>
    <row r="349">
      <c r="A349" s="4" t="n"/>
      <c r="B349" s="4" t="n"/>
      <c r="C349" s="6" t="n"/>
      <c r="D349" s="4" t="n"/>
      <c r="E349" s="4" t="n"/>
      <c r="F349" s="4" t="n"/>
      <c r="G349" s="6" t="n"/>
      <c r="H349" s="6" t="n"/>
      <c r="I349" s="6" t="n"/>
      <c r="J349" s="6" t="n"/>
      <c r="K349">
        <f>IF(OR(C349="",J349=""),"",NETWORKDAYS(C349,J349,Fériés!$A$2:$A$40)-1)</f>
        <v/>
      </c>
      <c r="L349">
        <f>IF(J349="","",IF(H349&lt;&gt;"",IF(J349&lt;=H349,"Oui","NON"),IF(K349&lt;=6,"Oui","NON")))</f>
        <v/>
      </c>
      <c r="M349" s="4" t="n"/>
      <c r="N349" s="4" t="n"/>
      <c r="O349" s="4" t="n"/>
      <c r="P349" s="4" t="n"/>
    </row>
    <row r="350">
      <c r="A350" s="4" t="n"/>
      <c r="B350" s="4" t="n"/>
      <c r="C350" s="6" t="n"/>
      <c r="D350" s="4" t="n"/>
      <c r="E350" s="4" t="n"/>
      <c r="F350" s="4" t="n"/>
      <c r="G350" s="6" t="n"/>
      <c r="H350" s="6" t="n"/>
      <c r="I350" s="6" t="n"/>
      <c r="J350" s="6" t="n"/>
      <c r="K350">
        <f>IF(OR(C350="",J350=""),"",NETWORKDAYS(C350,J350,Fériés!$A$2:$A$40)-1)</f>
        <v/>
      </c>
      <c r="L350">
        <f>IF(J350="","",IF(H350&lt;&gt;"",IF(J350&lt;=H350,"Oui","NON"),IF(K350&lt;=6,"Oui","NON")))</f>
        <v/>
      </c>
      <c r="M350" s="4" t="n"/>
      <c r="N350" s="4" t="n"/>
      <c r="O350" s="4" t="n"/>
      <c r="P350" s="4" t="n"/>
    </row>
    <row r="351">
      <c r="A351" s="4" t="n"/>
      <c r="B351" s="4" t="n"/>
      <c r="C351" s="6" t="n"/>
      <c r="D351" s="4" t="n"/>
      <c r="E351" s="4" t="n"/>
      <c r="F351" s="4" t="n"/>
      <c r="G351" s="6" t="n"/>
      <c r="H351" s="6" t="n"/>
      <c r="I351" s="6" t="n"/>
      <c r="J351" s="6" t="n"/>
      <c r="K351">
        <f>IF(OR(C351="",J351=""),"",NETWORKDAYS(C351,J351,Fériés!$A$2:$A$40)-1)</f>
        <v/>
      </c>
      <c r="L351">
        <f>IF(J351="","",IF(H351&lt;&gt;"",IF(J351&lt;=H351,"Oui","NON"),IF(K351&lt;=6,"Oui","NON")))</f>
        <v/>
      </c>
      <c r="M351" s="4" t="n"/>
      <c r="N351" s="4" t="n"/>
      <c r="O351" s="4" t="n"/>
      <c r="P351" s="4" t="n"/>
    </row>
    <row r="352">
      <c r="A352" s="4" t="n"/>
      <c r="B352" s="4" t="n"/>
      <c r="C352" s="6" t="n"/>
      <c r="D352" s="4" t="n"/>
      <c r="E352" s="4" t="n"/>
      <c r="F352" s="4" t="n"/>
      <c r="G352" s="6" t="n"/>
      <c r="H352" s="6" t="n"/>
      <c r="I352" s="6" t="n"/>
      <c r="J352" s="6" t="n"/>
      <c r="K352">
        <f>IF(OR(C352="",J352=""),"",NETWORKDAYS(C352,J352,Fériés!$A$2:$A$40)-1)</f>
        <v/>
      </c>
      <c r="L352">
        <f>IF(J352="","",IF(H352&lt;&gt;"",IF(J352&lt;=H352,"Oui","NON"),IF(K352&lt;=6,"Oui","NON")))</f>
        <v/>
      </c>
      <c r="M352" s="4" t="n"/>
      <c r="N352" s="4" t="n"/>
      <c r="O352" s="4" t="n"/>
      <c r="P352" s="4" t="n"/>
    </row>
    <row r="353">
      <c r="A353" s="4" t="n"/>
      <c r="B353" s="4" t="n"/>
      <c r="C353" s="6" t="n"/>
      <c r="D353" s="4" t="n"/>
      <c r="E353" s="4" t="n"/>
      <c r="F353" s="4" t="n"/>
      <c r="G353" s="6" t="n"/>
      <c r="H353" s="6" t="n"/>
      <c r="I353" s="6" t="n"/>
      <c r="J353" s="6" t="n"/>
      <c r="K353">
        <f>IF(OR(C353="",J353=""),"",NETWORKDAYS(C353,J353,Fériés!$A$2:$A$40)-1)</f>
        <v/>
      </c>
      <c r="L353">
        <f>IF(J353="","",IF(H353&lt;&gt;"",IF(J353&lt;=H353,"Oui","NON"),IF(K353&lt;=6,"Oui","NON")))</f>
        <v/>
      </c>
      <c r="M353" s="4" t="n"/>
      <c r="N353" s="4" t="n"/>
      <c r="O353" s="4" t="n"/>
      <c r="P353" s="4" t="n"/>
    </row>
    <row r="354">
      <c r="A354" s="4" t="n"/>
      <c r="B354" s="4" t="n"/>
      <c r="C354" s="6" t="n"/>
      <c r="D354" s="4" t="n"/>
      <c r="E354" s="4" t="n"/>
      <c r="F354" s="4" t="n"/>
      <c r="G354" s="6" t="n"/>
      <c r="H354" s="6" t="n"/>
      <c r="I354" s="6" t="n"/>
      <c r="J354" s="6" t="n"/>
      <c r="K354">
        <f>IF(OR(C354="",J354=""),"",NETWORKDAYS(C354,J354,Fériés!$A$2:$A$40)-1)</f>
        <v/>
      </c>
      <c r="L354">
        <f>IF(J354="","",IF(H354&lt;&gt;"",IF(J354&lt;=H354,"Oui","NON"),IF(K354&lt;=6,"Oui","NON")))</f>
        <v/>
      </c>
      <c r="M354" s="4" t="n"/>
      <c r="N354" s="4" t="n"/>
      <c r="O354" s="4" t="n"/>
      <c r="P354" s="4" t="n"/>
    </row>
    <row r="355">
      <c r="A355" s="4" t="n"/>
      <c r="B355" s="4" t="n"/>
      <c r="C355" s="6" t="n"/>
      <c r="D355" s="4" t="n"/>
      <c r="E355" s="4" t="n"/>
      <c r="F355" s="4" t="n"/>
      <c r="G355" s="6" t="n"/>
      <c r="H355" s="6" t="n"/>
      <c r="I355" s="6" t="n"/>
      <c r="J355" s="6" t="n"/>
      <c r="K355">
        <f>IF(OR(C355="",J355=""),"",NETWORKDAYS(C355,J355,Fériés!$A$2:$A$40)-1)</f>
        <v/>
      </c>
      <c r="L355">
        <f>IF(J355="","",IF(H355&lt;&gt;"",IF(J355&lt;=H355,"Oui","NON"),IF(K355&lt;=6,"Oui","NON")))</f>
        <v/>
      </c>
      <c r="M355" s="4" t="n"/>
      <c r="N355" s="4" t="n"/>
      <c r="O355" s="4" t="n"/>
      <c r="P355" s="4" t="n"/>
    </row>
    <row r="356">
      <c r="A356" s="4" t="n"/>
      <c r="B356" s="4" t="n"/>
      <c r="C356" s="6" t="n"/>
      <c r="D356" s="4" t="n"/>
      <c r="E356" s="4" t="n"/>
      <c r="F356" s="4" t="n"/>
      <c r="G356" s="6" t="n"/>
      <c r="H356" s="6" t="n"/>
      <c r="I356" s="6" t="n"/>
      <c r="J356" s="6" t="n"/>
      <c r="K356">
        <f>IF(OR(C356="",J356=""),"",NETWORKDAYS(C356,J356,Fériés!$A$2:$A$40)-1)</f>
        <v/>
      </c>
      <c r="L356">
        <f>IF(J356="","",IF(H356&lt;&gt;"",IF(J356&lt;=H356,"Oui","NON"),IF(K356&lt;=6,"Oui","NON")))</f>
        <v/>
      </c>
      <c r="M356" s="4" t="n"/>
      <c r="N356" s="4" t="n"/>
      <c r="O356" s="4" t="n"/>
      <c r="P356" s="4" t="n"/>
    </row>
    <row r="357">
      <c r="A357" s="4" t="n"/>
      <c r="B357" s="4" t="n"/>
      <c r="C357" s="6" t="n"/>
      <c r="D357" s="4" t="n"/>
      <c r="E357" s="4" t="n"/>
      <c r="F357" s="4" t="n"/>
      <c r="G357" s="6" t="n"/>
      <c r="H357" s="6" t="n"/>
      <c r="I357" s="6" t="n"/>
      <c r="J357" s="6" t="n"/>
      <c r="K357">
        <f>IF(OR(C357="",J357=""),"",NETWORKDAYS(C357,J357,Fériés!$A$2:$A$40)-1)</f>
        <v/>
      </c>
      <c r="L357">
        <f>IF(J357="","",IF(H357&lt;&gt;"",IF(J357&lt;=H357,"Oui","NON"),IF(K357&lt;=6,"Oui","NON")))</f>
        <v/>
      </c>
      <c r="M357" s="4" t="n"/>
      <c r="N357" s="4" t="n"/>
      <c r="O357" s="4" t="n"/>
      <c r="P357" s="4" t="n"/>
    </row>
    <row r="358">
      <c r="A358" s="4" t="n"/>
      <c r="B358" s="4" t="n"/>
      <c r="C358" s="6" t="n"/>
      <c r="D358" s="4" t="n"/>
      <c r="E358" s="4" t="n"/>
      <c r="F358" s="4" t="n"/>
      <c r="G358" s="6" t="n"/>
      <c r="H358" s="6" t="n"/>
      <c r="I358" s="6" t="n"/>
      <c r="J358" s="6" t="n"/>
      <c r="K358">
        <f>IF(OR(C358="",J358=""),"",NETWORKDAYS(C358,J358,Fériés!$A$2:$A$40)-1)</f>
        <v/>
      </c>
      <c r="L358">
        <f>IF(J358="","",IF(H358&lt;&gt;"",IF(J358&lt;=H358,"Oui","NON"),IF(K358&lt;=6,"Oui","NON")))</f>
        <v/>
      </c>
      <c r="M358" s="4" t="n"/>
      <c r="N358" s="4" t="n"/>
      <c r="O358" s="4" t="n"/>
      <c r="P358" s="4" t="n"/>
    </row>
    <row r="359">
      <c r="A359" s="4" t="n"/>
      <c r="B359" s="4" t="n"/>
      <c r="C359" s="6" t="n"/>
      <c r="D359" s="4" t="n"/>
      <c r="E359" s="4" t="n"/>
      <c r="F359" s="4" t="n"/>
      <c r="G359" s="6" t="n"/>
      <c r="H359" s="6" t="n"/>
      <c r="I359" s="6" t="n"/>
      <c r="J359" s="6" t="n"/>
      <c r="K359">
        <f>IF(OR(C359="",J359=""),"",NETWORKDAYS(C359,J359,Fériés!$A$2:$A$40)-1)</f>
        <v/>
      </c>
      <c r="L359">
        <f>IF(J359="","",IF(H359&lt;&gt;"",IF(J359&lt;=H359,"Oui","NON"),IF(K359&lt;=6,"Oui","NON")))</f>
        <v/>
      </c>
      <c r="M359" s="4" t="n"/>
      <c r="N359" s="4" t="n"/>
      <c r="O359" s="4" t="n"/>
      <c r="P359" s="4" t="n"/>
    </row>
    <row r="360">
      <c r="A360" s="4" t="n"/>
      <c r="B360" s="4" t="n"/>
      <c r="C360" s="6" t="n"/>
      <c r="D360" s="4" t="n"/>
      <c r="E360" s="4" t="n"/>
      <c r="F360" s="4" t="n"/>
      <c r="G360" s="6" t="n"/>
      <c r="H360" s="6" t="n"/>
      <c r="I360" s="6" t="n"/>
      <c r="J360" s="6" t="n"/>
      <c r="K360">
        <f>IF(OR(C360="",J360=""),"",NETWORKDAYS(C360,J360,Fériés!$A$2:$A$40)-1)</f>
        <v/>
      </c>
      <c r="L360">
        <f>IF(J360="","",IF(H360&lt;&gt;"",IF(J360&lt;=H360,"Oui","NON"),IF(K360&lt;=6,"Oui","NON")))</f>
        <v/>
      </c>
      <c r="M360" s="4" t="n"/>
      <c r="N360" s="4" t="n"/>
      <c r="O360" s="4" t="n"/>
      <c r="P360" s="4" t="n"/>
    </row>
    <row r="361">
      <c r="A361" s="4" t="n"/>
      <c r="B361" s="4" t="n"/>
      <c r="C361" s="6" t="n"/>
      <c r="D361" s="4" t="n"/>
      <c r="E361" s="4" t="n"/>
      <c r="F361" s="4" t="n"/>
      <c r="G361" s="6" t="n"/>
      <c r="H361" s="6" t="n"/>
      <c r="I361" s="6" t="n"/>
      <c r="J361" s="6" t="n"/>
      <c r="K361">
        <f>IF(OR(C361="",J361=""),"",NETWORKDAYS(C361,J361,Fériés!$A$2:$A$40)-1)</f>
        <v/>
      </c>
      <c r="L361">
        <f>IF(J361="","",IF(H361&lt;&gt;"",IF(J361&lt;=H361,"Oui","NON"),IF(K361&lt;=6,"Oui","NON")))</f>
        <v/>
      </c>
      <c r="M361" s="4" t="n"/>
      <c r="N361" s="4" t="n"/>
      <c r="O361" s="4" t="n"/>
      <c r="P361" s="4" t="n"/>
    </row>
    <row r="362">
      <c r="A362" s="4" t="n"/>
      <c r="B362" s="4" t="n"/>
      <c r="C362" s="6" t="n"/>
      <c r="D362" s="4" t="n"/>
      <c r="E362" s="4" t="n"/>
      <c r="F362" s="4" t="n"/>
      <c r="G362" s="6" t="n"/>
      <c r="H362" s="6" t="n"/>
      <c r="I362" s="6" t="n"/>
      <c r="J362" s="6" t="n"/>
      <c r="K362">
        <f>IF(OR(C362="",J362=""),"",NETWORKDAYS(C362,J362,Fériés!$A$2:$A$40)-1)</f>
        <v/>
      </c>
      <c r="L362">
        <f>IF(J362="","",IF(H362&lt;&gt;"",IF(J362&lt;=H362,"Oui","NON"),IF(K362&lt;=6,"Oui","NON")))</f>
        <v/>
      </c>
      <c r="M362" s="4" t="n"/>
      <c r="N362" s="4" t="n"/>
      <c r="O362" s="4" t="n"/>
      <c r="P362" s="4" t="n"/>
    </row>
    <row r="363">
      <c r="A363" s="4" t="n"/>
      <c r="B363" s="4" t="n"/>
      <c r="C363" s="6" t="n"/>
      <c r="D363" s="4" t="n"/>
      <c r="E363" s="4" t="n"/>
      <c r="F363" s="4" t="n"/>
      <c r="G363" s="6" t="n"/>
      <c r="H363" s="6" t="n"/>
      <c r="I363" s="6" t="n"/>
      <c r="J363" s="6" t="n"/>
      <c r="K363">
        <f>IF(OR(C363="",J363=""),"",NETWORKDAYS(C363,J363,Fériés!$A$2:$A$40)-1)</f>
        <v/>
      </c>
      <c r="L363">
        <f>IF(J363="","",IF(H363&lt;&gt;"",IF(J363&lt;=H363,"Oui","NON"),IF(K363&lt;=6,"Oui","NON")))</f>
        <v/>
      </c>
      <c r="M363" s="4" t="n"/>
      <c r="N363" s="4" t="n"/>
      <c r="O363" s="4" t="n"/>
      <c r="P363" s="4" t="n"/>
    </row>
    <row r="364">
      <c r="A364" s="4" t="n"/>
      <c r="B364" s="4" t="n"/>
      <c r="C364" s="6" t="n"/>
      <c r="D364" s="4" t="n"/>
      <c r="E364" s="4" t="n"/>
      <c r="F364" s="4" t="n"/>
      <c r="G364" s="6" t="n"/>
      <c r="H364" s="6" t="n"/>
      <c r="I364" s="6" t="n"/>
      <c r="J364" s="6" t="n"/>
      <c r="K364">
        <f>IF(OR(C364="",J364=""),"",NETWORKDAYS(C364,J364,Fériés!$A$2:$A$40)-1)</f>
        <v/>
      </c>
      <c r="L364">
        <f>IF(J364="","",IF(H364&lt;&gt;"",IF(J364&lt;=H364,"Oui","NON"),IF(K364&lt;=6,"Oui","NON")))</f>
        <v/>
      </c>
      <c r="M364" s="4" t="n"/>
      <c r="N364" s="4" t="n"/>
      <c r="O364" s="4" t="n"/>
      <c r="P364" s="4" t="n"/>
    </row>
    <row r="365">
      <c r="A365" s="4" t="n"/>
      <c r="B365" s="4" t="n"/>
      <c r="C365" s="6" t="n"/>
      <c r="D365" s="4" t="n"/>
      <c r="E365" s="4" t="n"/>
      <c r="F365" s="4" t="n"/>
      <c r="G365" s="6" t="n"/>
      <c r="H365" s="6" t="n"/>
      <c r="I365" s="6" t="n"/>
      <c r="J365" s="6" t="n"/>
      <c r="K365">
        <f>IF(OR(C365="",J365=""),"",NETWORKDAYS(C365,J365,Fériés!$A$2:$A$40)-1)</f>
        <v/>
      </c>
      <c r="L365">
        <f>IF(J365="","",IF(H365&lt;&gt;"",IF(J365&lt;=H365,"Oui","NON"),IF(K365&lt;=6,"Oui","NON")))</f>
        <v/>
      </c>
      <c r="M365" s="4" t="n"/>
      <c r="N365" s="4" t="n"/>
      <c r="O365" s="4" t="n"/>
      <c r="P365" s="4" t="n"/>
    </row>
    <row r="366">
      <c r="A366" s="4" t="n"/>
      <c r="B366" s="4" t="n"/>
      <c r="C366" s="6" t="n"/>
      <c r="D366" s="4" t="n"/>
      <c r="E366" s="4" t="n"/>
      <c r="F366" s="4" t="n"/>
      <c r="G366" s="6" t="n"/>
      <c r="H366" s="6" t="n"/>
      <c r="I366" s="6" t="n"/>
      <c r="J366" s="6" t="n"/>
      <c r="K366">
        <f>IF(OR(C366="",J366=""),"",NETWORKDAYS(C366,J366,Fériés!$A$2:$A$40)-1)</f>
        <v/>
      </c>
      <c r="L366">
        <f>IF(J366="","",IF(H366&lt;&gt;"",IF(J366&lt;=H366,"Oui","NON"),IF(K366&lt;=6,"Oui","NON")))</f>
        <v/>
      </c>
      <c r="M366" s="4" t="n"/>
      <c r="N366" s="4" t="n"/>
      <c r="O366" s="4" t="n"/>
      <c r="P366" s="4" t="n"/>
    </row>
    <row r="367">
      <c r="A367" s="4" t="n"/>
      <c r="B367" s="4" t="n"/>
      <c r="C367" s="6" t="n"/>
      <c r="D367" s="4" t="n"/>
      <c r="E367" s="4" t="n"/>
      <c r="F367" s="4" t="n"/>
      <c r="G367" s="6" t="n"/>
      <c r="H367" s="6" t="n"/>
      <c r="I367" s="6" t="n"/>
      <c r="J367" s="6" t="n"/>
      <c r="K367">
        <f>IF(OR(C367="",J367=""),"",NETWORKDAYS(C367,J367,Fériés!$A$2:$A$40)-1)</f>
        <v/>
      </c>
      <c r="L367">
        <f>IF(J367="","",IF(H367&lt;&gt;"",IF(J367&lt;=H367,"Oui","NON"),IF(K367&lt;=6,"Oui","NON")))</f>
        <v/>
      </c>
      <c r="M367" s="4" t="n"/>
      <c r="N367" s="4" t="n"/>
      <c r="O367" s="4" t="n"/>
      <c r="P367" s="4" t="n"/>
    </row>
    <row r="368">
      <c r="A368" s="4" t="n"/>
      <c r="B368" s="4" t="n"/>
      <c r="C368" s="6" t="n"/>
      <c r="D368" s="4" t="n"/>
      <c r="E368" s="4" t="n"/>
      <c r="F368" s="4" t="n"/>
      <c r="G368" s="6" t="n"/>
      <c r="H368" s="6" t="n"/>
      <c r="I368" s="6" t="n"/>
      <c r="J368" s="6" t="n"/>
      <c r="K368">
        <f>IF(OR(C368="",J368=""),"",NETWORKDAYS(C368,J368,Fériés!$A$2:$A$40)-1)</f>
        <v/>
      </c>
      <c r="L368">
        <f>IF(J368="","",IF(H368&lt;&gt;"",IF(J368&lt;=H368,"Oui","NON"),IF(K368&lt;=6,"Oui","NON")))</f>
        <v/>
      </c>
      <c r="M368" s="4" t="n"/>
      <c r="N368" s="4" t="n"/>
      <c r="O368" s="4" t="n"/>
      <c r="P368" s="4" t="n"/>
    </row>
    <row r="369">
      <c r="A369" s="4" t="n"/>
      <c r="B369" s="4" t="n"/>
      <c r="C369" s="6" t="n"/>
      <c r="D369" s="4" t="n"/>
      <c r="E369" s="4" t="n"/>
      <c r="F369" s="4" t="n"/>
      <c r="G369" s="6" t="n"/>
      <c r="H369" s="6" t="n"/>
      <c r="I369" s="6" t="n"/>
      <c r="J369" s="6" t="n"/>
      <c r="K369">
        <f>IF(OR(C369="",J369=""),"",NETWORKDAYS(C369,J369,Fériés!$A$2:$A$40)-1)</f>
        <v/>
      </c>
      <c r="L369">
        <f>IF(J369="","",IF(H369&lt;&gt;"",IF(J369&lt;=H369,"Oui","NON"),IF(K369&lt;=6,"Oui","NON")))</f>
        <v/>
      </c>
      <c r="M369" s="4" t="n"/>
      <c r="N369" s="4" t="n"/>
      <c r="O369" s="4" t="n"/>
      <c r="P369" s="4" t="n"/>
    </row>
    <row r="370">
      <c r="A370" s="4" t="n"/>
      <c r="B370" s="4" t="n"/>
      <c r="C370" s="6" t="n"/>
      <c r="D370" s="4" t="n"/>
      <c r="E370" s="4" t="n"/>
      <c r="F370" s="4" t="n"/>
      <c r="G370" s="6" t="n"/>
      <c r="H370" s="6" t="n"/>
      <c r="I370" s="6" t="n"/>
      <c r="J370" s="6" t="n"/>
      <c r="K370">
        <f>IF(OR(C370="",J370=""),"",NETWORKDAYS(C370,J370,Fériés!$A$2:$A$40)-1)</f>
        <v/>
      </c>
      <c r="L370">
        <f>IF(J370="","",IF(H370&lt;&gt;"",IF(J370&lt;=H370,"Oui","NON"),IF(K370&lt;=6,"Oui","NON")))</f>
        <v/>
      </c>
      <c r="M370" s="4" t="n"/>
      <c r="N370" s="4" t="n"/>
      <c r="O370" s="4" t="n"/>
      <c r="P370" s="4" t="n"/>
    </row>
    <row r="371">
      <c r="A371" s="4" t="n"/>
      <c r="B371" s="4" t="n"/>
      <c r="C371" s="6" t="n"/>
      <c r="D371" s="4" t="n"/>
      <c r="E371" s="4" t="n"/>
      <c r="F371" s="4" t="n"/>
      <c r="G371" s="6" t="n"/>
      <c r="H371" s="6" t="n"/>
      <c r="I371" s="6" t="n"/>
      <c r="J371" s="6" t="n"/>
      <c r="K371">
        <f>IF(OR(C371="",J371=""),"",NETWORKDAYS(C371,J371,Fériés!$A$2:$A$40)-1)</f>
        <v/>
      </c>
      <c r="L371">
        <f>IF(J371="","",IF(H371&lt;&gt;"",IF(J371&lt;=H371,"Oui","NON"),IF(K371&lt;=6,"Oui","NON")))</f>
        <v/>
      </c>
      <c r="M371" s="4" t="n"/>
      <c r="N371" s="4" t="n"/>
      <c r="O371" s="4" t="n"/>
      <c r="P371" s="4" t="n"/>
    </row>
    <row r="372">
      <c r="A372" s="4" t="n"/>
      <c r="B372" s="4" t="n"/>
      <c r="C372" s="6" t="n"/>
      <c r="D372" s="4" t="n"/>
      <c r="E372" s="4" t="n"/>
      <c r="F372" s="4" t="n"/>
      <c r="G372" s="6" t="n"/>
      <c r="H372" s="6" t="n"/>
      <c r="I372" s="6" t="n"/>
      <c r="J372" s="6" t="n"/>
      <c r="K372">
        <f>IF(OR(C372="",J372=""),"",NETWORKDAYS(C372,J372,Fériés!$A$2:$A$40)-1)</f>
        <v/>
      </c>
      <c r="L372">
        <f>IF(J372="","",IF(H372&lt;&gt;"",IF(J372&lt;=H372,"Oui","NON"),IF(K372&lt;=6,"Oui","NON")))</f>
        <v/>
      </c>
      <c r="M372" s="4" t="n"/>
      <c r="N372" s="4" t="n"/>
      <c r="O372" s="4" t="n"/>
      <c r="P372" s="4" t="n"/>
    </row>
    <row r="373">
      <c r="A373" s="4" t="n"/>
      <c r="B373" s="4" t="n"/>
      <c r="C373" s="6" t="n"/>
      <c r="D373" s="4" t="n"/>
      <c r="E373" s="4" t="n"/>
      <c r="F373" s="4" t="n"/>
      <c r="G373" s="6" t="n"/>
      <c r="H373" s="6" t="n"/>
      <c r="I373" s="6" t="n"/>
      <c r="J373" s="6" t="n"/>
      <c r="K373">
        <f>IF(OR(C373="",J373=""),"",NETWORKDAYS(C373,J373,Fériés!$A$2:$A$40)-1)</f>
        <v/>
      </c>
      <c r="L373">
        <f>IF(J373="","",IF(H373&lt;&gt;"",IF(J373&lt;=H373,"Oui","NON"),IF(K373&lt;=6,"Oui","NON")))</f>
        <v/>
      </c>
      <c r="M373" s="4" t="n"/>
      <c r="N373" s="4" t="n"/>
      <c r="O373" s="4" t="n"/>
      <c r="P373" s="4" t="n"/>
    </row>
    <row r="374">
      <c r="A374" s="4" t="n"/>
      <c r="B374" s="4" t="n"/>
      <c r="C374" s="6" t="n"/>
      <c r="D374" s="4" t="n"/>
      <c r="E374" s="4" t="n"/>
      <c r="F374" s="4" t="n"/>
      <c r="G374" s="6" t="n"/>
      <c r="H374" s="6" t="n"/>
      <c r="I374" s="6" t="n"/>
      <c r="J374" s="6" t="n"/>
      <c r="K374">
        <f>IF(OR(C374="",J374=""),"",NETWORKDAYS(C374,J374,Fériés!$A$2:$A$40)-1)</f>
        <v/>
      </c>
      <c r="L374">
        <f>IF(J374="","",IF(H374&lt;&gt;"",IF(J374&lt;=H374,"Oui","NON"),IF(K374&lt;=6,"Oui","NON")))</f>
        <v/>
      </c>
      <c r="M374" s="4" t="n"/>
      <c r="N374" s="4" t="n"/>
      <c r="O374" s="4" t="n"/>
      <c r="P374" s="4" t="n"/>
    </row>
    <row r="375">
      <c r="A375" s="4" t="n"/>
      <c r="B375" s="4" t="n"/>
      <c r="C375" s="6" t="n"/>
      <c r="D375" s="4" t="n"/>
      <c r="E375" s="4" t="n"/>
      <c r="F375" s="4" t="n"/>
      <c r="G375" s="6" t="n"/>
      <c r="H375" s="6" t="n"/>
      <c r="I375" s="6" t="n"/>
      <c r="J375" s="6" t="n"/>
      <c r="K375">
        <f>IF(OR(C375="",J375=""),"",NETWORKDAYS(C375,J375,Fériés!$A$2:$A$40)-1)</f>
        <v/>
      </c>
      <c r="L375">
        <f>IF(J375="","",IF(H375&lt;&gt;"",IF(J375&lt;=H375,"Oui","NON"),IF(K375&lt;=6,"Oui","NON")))</f>
        <v/>
      </c>
      <c r="M375" s="4" t="n"/>
      <c r="N375" s="4" t="n"/>
      <c r="O375" s="4" t="n"/>
      <c r="P375" s="4" t="n"/>
    </row>
    <row r="376">
      <c r="A376" s="4" t="n"/>
      <c r="B376" s="4" t="n"/>
      <c r="C376" s="6" t="n"/>
      <c r="D376" s="4" t="n"/>
      <c r="E376" s="4" t="n"/>
      <c r="F376" s="4" t="n"/>
      <c r="G376" s="6" t="n"/>
      <c r="H376" s="6" t="n"/>
      <c r="I376" s="6" t="n"/>
      <c r="J376" s="6" t="n"/>
      <c r="K376">
        <f>IF(OR(C376="",J376=""),"",NETWORKDAYS(C376,J376,Fériés!$A$2:$A$40)-1)</f>
        <v/>
      </c>
      <c r="L376">
        <f>IF(J376="","",IF(H376&lt;&gt;"",IF(J376&lt;=H376,"Oui","NON"),IF(K376&lt;=6,"Oui","NON")))</f>
        <v/>
      </c>
      <c r="M376" s="4" t="n"/>
      <c r="N376" s="4" t="n"/>
      <c r="O376" s="4" t="n"/>
      <c r="P376" s="4" t="n"/>
    </row>
    <row r="377">
      <c r="A377" s="4" t="n"/>
      <c r="B377" s="4" t="n"/>
      <c r="C377" s="6" t="n"/>
      <c r="D377" s="4" t="n"/>
      <c r="E377" s="4" t="n"/>
      <c r="F377" s="4" t="n"/>
      <c r="G377" s="6" t="n"/>
      <c r="H377" s="6" t="n"/>
      <c r="I377" s="6" t="n"/>
      <c r="J377" s="6" t="n"/>
      <c r="K377">
        <f>IF(OR(C377="",J377=""),"",NETWORKDAYS(C377,J377,Fériés!$A$2:$A$40)-1)</f>
        <v/>
      </c>
      <c r="L377">
        <f>IF(J377="","",IF(H377&lt;&gt;"",IF(J377&lt;=H377,"Oui","NON"),IF(K377&lt;=6,"Oui","NON")))</f>
        <v/>
      </c>
      <c r="M377" s="4" t="n"/>
      <c r="N377" s="4" t="n"/>
      <c r="O377" s="4" t="n"/>
      <c r="P377" s="4" t="n"/>
    </row>
    <row r="378">
      <c r="A378" s="4" t="n"/>
      <c r="B378" s="4" t="n"/>
      <c r="C378" s="6" t="n"/>
      <c r="D378" s="4" t="n"/>
      <c r="E378" s="4" t="n"/>
      <c r="F378" s="4" t="n"/>
      <c r="G378" s="6" t="n"/>
      <c r="H378" s="6" t="n"/>
      <c r="I378" s="6" t="n"/>
      <c r="J378" s="6" t="n"/>
      <c r="K378">
        <f>IF(OR(C378="",J378=""),"",NETWORKDAYS(C378,J378,Fériés!$A$2:$A$40)-1)</f>
        <v/>
      </c>
      <c r="L378">
        <f>IF(J378="","",IF(H378&lt;&gt;"",IF(J378&lt;=H378,"Oui","NON"),IF(K378&lt;=6,"Oui","NON")))</f>
        <v/>
      </c>
      <c r="M378" s="4" t="n"/>
      <c r="N378" s="4" t="n"/>
      <c r="O378" s="4" t="n"/>
      <c r="P378" s="4" t="n"/>
    </row>
    <row r="379">
      <c r="A379" s="4" t="n"/>
      <c r="B379" s="4" t="n"/>
      <c r="C379" s="6" t="n"/>
      <c r="D379" s="4" t="n"/>
      <c r="E379" s="4" t="n"/>
      <c r="F379" s="4" t="n"/>
      <c r="G379" s="6" t="n"/>
      <c r="H379" s="6" t="n"/>
      <c r="I379" s="6" t="n"/>
      <c r="J379" s="6" t="n"/>
      <c r="K379">
        <f>IF(OR(C379="",J379=""),"",NETWORKDAYS(C379,J379,Fériés!$A$2:$A$40)-1)</f>
        <v/>
      </c>
      <c r="L379">
        <f>IF(J379="","",IF(H379&lt;&gt;"",IF(J379&lt;=H379,"Oui","NON"),IF(K379&lt;=6,"Oui","NON")))</f>
        <v/>
      </c>
      <c r="M379" s="4" t="n"/>
      <c r="N379" s="4" t="n"/>
      <c r="O379" s="4" t="n"/>
      <c r="P379" s="4" t="n"/>
    </row>
    <row r="380">
      <c r="A380" s="4" t="n"/>
      <c r="B380" s="4" t="n"/>
      <c r="C380" s="6" t="n"/>
      <c r="D380" s="4" t="n"/>
      <c r="E380" s="4" t="n"/>
      <c r="F380" s="4" t="n"/>
      <c r="G380" s="6" t="n"/>
      <c r="H380" s="6" t="n"/>
      <c r="I380" s="6" t="n"/>
      <c r="J380" s="6" t="n"/>
      <c r="K380">
        <f>IF(OR(C380="",J380=""),"",NETWORKDAYS(C380,J380,Fériés!$A$2:$A$40)-1)</f>
        <v/>
      </c>
      <c r="L380">
        <f>IF(J380="","",IF(H380&lt;&gt;"",IF(J380&lt;=H380,"Oui","NON"),IF(K380&lt;=6,"Oui","NON")))</f>
        <v/>
      </c>
      <c r="M380" s="4" t="n"/>
      <c r="N380" s="4" t="n"/>
      <c r="O380" s="4" t="n"/>
      <c r="P380" s="4" t="n"/>
    </row>
    <row r="381">
      <c r="A381" s="4" t="n"/>
      <c r="B381" s="4" t="n"/>
      <c r="C381" s="6" t="n"/>
      <c r="D381" s="4" t="n"/>
      <c r="E381" s="4" t="n"/>
      <c r="F381" s="4" t="n"/>
      <c r="G381" s="6" t="n"/>
      <c r="H381" s="6" t="n"/>
      <c r="I381" s="6" t="n"/>
      <c r="J381" s="6" t="n"/>
      <c r="K381">
        <f>IF(OR(C381="",J381=""),"",NETWORKDAYS(C381,J381,Fériés!$A$2:$A$40)-1)</f>
        <v/>
      </c>
      <c r="L381">
        <f>IF(J381="","",IF(H381&lt;&gt;"",IF(J381&lt;=H381,"Oui","NON"),IF(K381&lt;=6,"Oui","NON")))</f>
        <v/>
      </c>
      <c r="M381" s="4" t="n"/>
      <c r="N381" s="4" t="n"/>
      <c r="O381" s="4" t="n"/>
      <c r="P381" s="4" t="n"/>
    </row>
    <row r="382">
      <c r="A382" s="4" t="n"/>
      <c r="B382" s="4" t="n"/>
      <c r="C382" s="6" t="n"/>
      <c r="D382" s="4" t="n"/>
      <c r="E382" s="4" t="n"/>
      <c r="F382" s="4" t="n"/>
      <c r="G382" s="6" t="n"/>
      <c r="H382" s="6" t="n"/>
      <c r="I382" s="6" t="n"/>
      <c r="J382" s="6" t="n"/>
      <c r="K382">
        <f>IF(OR(C382="",J382=""),"",NETWORKDAYS(C382,J382,Fériés!$A$2:$A$40)-1)</f>
        <v/>
      </c>
      <c r="L382">
        <f>IF(J382="","",IF(H382&lt;&gt;"",IF(J382&lt;=H382,"Oui","NON"),IF(K382&lt;=6,"Oui","NON")))</f>
        <v/>
      </c>
      <c r="M382" s="4" t="n"/>
      <c r="N382" s="4" t="n"/>
      <c r="O382" s="4" t="n"/>
      <c r="P382" s="4" t="n"/>
    </row>
    <row r="383">
      <c r="A383" s="4" t="n"/>
      <c r="B383" s="4" t="n"/>
      <c r="C383" s="6" t="n"/>
      <c r="D383" s="4" t="n"/>
      <c r="E383" s="4" t="n"/>
      <c r="F383" s="4" t="n"/>
      <c r="G383" s="6" t="n"/>
      <c r="H383" s="6" t="n"/>
      <c r="I383" s="6" t="n"/>
      <c r="J383" s="6" t="n"/>
      <c r="K383">
        <f>IF(OR(C383="",J383=""),"",NETWORKDAYS(C383,J383,Fériés!$A$2:$A$40)-1)</f>
        <v/>
      </c>
      <c r="L383">
        <f>IF(J383="","",IF(H383&lt;&gt;"",IF(J383&lt;=H383,"Oui","NON"),IF(K383&lt;=6,"Oui","NON")))</f>
        <v/>
      </c>
      <c r="M383" s="4" t="n"/>
      <c r="N383" s="4" t="n"/>
      <c r="O383" s="4" t="n"/>
      <c r="P383" s="4" t="n"/>
    </row>
    <row r="384">
      <c r="A384" s="4" t="n"/>
      <c r="B384" s="4" t="n"/>
      <c r="C384" s="6" t="n"/>
      <c r="D384" s="4" t="n"/>
      <c r="E384" s="4" t="n"/>
      <c r="F384" s="4" t="n"/>
      <c r="G384" s="6" t="n"/>
      <c r="H384" s="6" t="n"/>
      <c r="I384" s="6" t="n"/>
      <c r="J384" s="6" t="n"/>
      <c r="K384">
        <f>IF(OR(C384="",J384=""),"",NETWORKDAYS(C384,J384,Fériés!$A$2:$A$40)-1)</f>
        <v/>
      </c>
      <c r="L384">
        <f>IF(J384="","",IF(H384&lt;&gt;"",IF(J384&lt;=H384,"Oui","NON"),IF(K384&lt;=6,"Oui","NON")))</f>
        <v/>
      </c>
      <c r="M384" s="4" t="n"/>
      <c r="N384" s="4" t="n"/>
      <c r="O384" s="4" t="n"/>
      <c r="P384" s="4" t="n"/>
    </row>
    <row r="385">
      <c r="A385" s="4" t="n"/>
      <c r="B385" s="4" t="n"/>
      <c r="C385" s="6" t="n"/>
      <c r="D385" s="4" t="n"/>
      <c r="E385" s="4" t="n"/>
      <c r="F385" s="4" t="n"/>
      <c r="G385" s="6" t="n"/>
      <c r="H385" s="6" t="n"/>
      <c r="I385" s="6" t="n"/>
      <c r="J385" s="6" t="n"/>
      <c r="K385">
        <f>IF(OR(C385="",J385=""),"",NETWORKDAYS(C385,J385,Fériés!$A$2:$A$40)-1)</f>
        <v/>
      </c>
      <c r="L385">
        <f>IF(J385="","",IF(H385&lt;&gt;"",IF(J385&lt;=H385,"Oui","NON"),IF(K385&lt;=6,"Oui","NON")))</f>
        <v/>
      </c>
      <c r="M385" s="4" t="n"/>
      <c r="N385" s="4" t="n"/>
      <c r="O385" s="4" t="n"/>
      <c r="P385" s="4" t="n"/>
    </row>
    <row r="386">
      <c r="A386" s="4" t="n"/>
      <c r="B386" s="4" t="n"/>
      <c r="C386" s="6" t="n"/>
      <c r="D386" s="4" t="n"/>
      <c r="E386" s="4" t="n"/>
      <c r="F386" s="4" t="n"/>
      <c r="G386" s="6" t="n"/>
      <c r="H386" s="6" t="n"/>
      <c r="I386" s="6" t="n"/>
      <c r="J386" s="6" t="n"/>
      <c r="K386">
        <f>IF(OR(C386="",J386=""),"",NETWORKDAYS(C386,J386,Fériés!$A$2:$A$40)-1)</f>
        <v/>
      </c>
      <c r="L386">
        <f>IF(J386="","",IF(H386&lt;&gt;"",IF(J386&lt;=H386,"Oui","NON"),IF(K386&lt;=6,"Oui","NON")))</f>
        <v/>
      </c>
      <c r="M386" s="4" t="n"/>
      <c r="N386" s="4" t="n"/>
      <c r="O386" s="4" t="n"/>
      <c r="P386" s="4" t="n"/>
    </row>
    <row r="387">
      <c r="A387" s="4" t="n"/>
      <c r="B387" s="4" t="n"/>
      <c r="C387" s="6" t="n"/>
      <c r="D387" s="4" t="n"/>
      <c r="E387" s="4" t="n"/>
      <c r="F387" s="4" t="n"/>
      <c r="G387" s="6" t="n"/>
      <c r="H387" s="6" t="n"/>
      <c r="I387" s="6" t="n"/>
      <c r="J387" s="6" t="n"/>
      <c r="K387">
        <f>IF(OR(C387="",J387=""),"",NETWORKDAYS(C387,J387,Fériés!$A$2:$A$40)-1)</f>
        <v/>
      </c>
      <c r="L387">
        <f>IF(J387="","",IF(H387&lt;&gt;"",IF(J387&lt;=H387,"Oui","NON"),IF(K387&lt;=6,"Oui","NON")))</f>
        <v/>
      </c>
      <c r="M387" s="4" t="n"/>
      <c r="N387" s="4" t="n"/>
      <c r="O387" s="4" t="n"/>
      <c r="P387" s="4" t="n"/>
    </row>
    <row r="388">
      <c r="A388" s="4" t="n"/>
      <c r="B388" s="4" t="n"/>
      <c r="C388" s="6" t="n"/>
      <c r="D388" s="4" t="n"/>
      <c r="E388" s="4" t="n"/>
      <c r="F388" s="4" t="n"/>
      <c r="G388" s="6" t="n"/>
      <c r="H388" s="6" t="n"/>
      <c r="I388" s="6" t="n"/>
      <c r="J388" s="6" t="n"/>
      <c r="K388">
        <f>IF(OR(C388="",J388=""),"",NETWORKDAYS(C388,J388,Fériés!$A$2:$A$40)-1)</f>
        <v/>
      </c>
      <c r="L388">
        <f>IF(J388="","",IF(H388&lt;&gt;"",IF(J388&lt;=H388,"Oui","NON"),IF(K388&lt;=6,"Oui","NON")))</f>
        <v/>
      </c>
      <c r="M388" s="4" t="n"/>
      <c r="N388" s="4" t="n"/>
      <c r="O388" s="4" t="n"/>
      <c r="P388" s="4" t="n"/>
    </row>
    <row r="389">
      <c r="A389" s="4" t="n"/>
      <c r="B389" s="4" t="n"/>
      <c r="C389" s="6" t="n"/>
      <c r="D389" s="4" t="n"/>
      <c r="E389" s="4" t="n"/>
      <c r="F389" s="4" t="n"/>
      <c r="G389" s="6" t="n"/>
      <c r="H389" s="6" t="n"/>
      <c r="I389" s="6" t="n"/>
      <c r="J389" s="6" t="n"/>
      <c r="K389">
        <f>IF(OR(C389="",J389=""),"",NETWORKDAYS(C389,J389,Fériés!$A$2:$A$40)-1)</f>
        <v/>
      </c>
      <c r="L389">
        <f>IF(J389="","",IF(H389&lt;&gt;"",IF(J389&lt;=H389,"Oui","NON"),IF(K389&lt;=6,"Oui","NON")))</f>
        <v/>
      </c>
      <c r="M389" s="4" t="n"/>
      <c r="N389" s="4" t="n"/>
      <c r="O389" s="4" t="n"/>
      <c r="P389" s="4" t="n"/>
    </row>
    <row r="390">
      <c r="A390" s="4" t="n"/>
      <c r="B390" s="4" t="n"/>
      <c r="C390" s="6" t="n"/>
      <c r="D390" s="4" t="n"/>
      <c r="E390" s="4" t="n"/>
      <c r="F390" s="4" t="n"/>
      <c r="G390" s="6" t="n"/>
      <c r="H390" s="6" t="n"/>
      <c r="I390" s="6" t="n"/>
      <c r="J390" s="6" t="n"/>
      <c r="K390">
        <f>IF(OR(C390="",J390=""),"",NETWORKDAYS(C390,J390,Fériés!$A$2:$A$40)-1)</f>
        <v/>
      </c>
      <c r="L390">
        <f>IF(J390="","",IF(H390&lt;&gt;"",IF(J390&lt;=H390,"Oui","NON"),IF(K390&lt;=6,"Oui","NON")))</f>
        <v/>
      </c>
      <c r="M390" s="4" t="n"/>
      <c r="N390" s="4" t="n"/>
      <c r="O390" s="4" t="n"/>
      <c r="P390" s="4" t="n"/>
    </row>
    <row r="391">
      <c r="A391" s="4" t="n"/>
      <c r="B391" s="4" t="n"/>
      <c r="C391" s="6" t="n"/>
      <c r="D391" s="4" t="n"/>
      <c r="E391" s="4" t="n"/>
      <c r="F391" s="4" t="n"/>
      <c r="G391" s="6" t="n"/>
      <c r="H391" s="6" t="n"/>
      <c r="I391" s="6" t="n"/>
      <c r="J391" s="6" t="n"/>
      <c r="K391">
        <f>IF(OR(C391="",J391=""),"",NETWORKDAYS(C391,J391,Fériés!$A$2:$A$40)-1)</f>
        <v/>
      </c>
      <c r="L391">
        <f>IF(J391="","",IF(H391&lt;&gt;"",IF(J391&lt;=H391,"Oui","NON"),IF(K391&lt;=6,"Oui","NON")))</f>
        <v/>
      </c>
      <c r="M391" s="4" t="n"/>
      <c r="N391" s="4" t="n"/>
      <c r="O391" s="4" t="n"/>
      <c r="P391" s="4" t="n"/>
    </row>
    <row r="392">
      <c r="A392" s="4" t="n"/>
      <c r="B392" s="4" t="n"/>
      <c r="C392" s="6" t="n"/>
      <c r="D392" s="4" t="n"/>
      <c r="E392" s="4" t="n"/>
      <c r="F392" s="4" t="n"/>
      <c r="G392" s="6" t="n"/>
      <c r="H392" s="6" t="n"/>
      <c r="I392" s="6" t="n"/>
      <c r="J392" s="6" t="n"/>
      <c r="K392">
        <f>IF(OR(C392="",J392=""),"",NETWORKDAYS(C392,J392,Fériés!$A$2:$A$40)-1)</f>
        <v/>
      </c>
      <c r="L392">
        <f>IF(J392="","",IF(H392&lt;&gt;"",IF(J392&lt;=H392,"Oui","NON"),IF(K392&lt;=6,"Oui","NON")))</f>
        <v/>
      </c>
      <c r="M392" s="4" t="n"/>
      <c r="N392" s="4" t="n"/>
      <c r="O392" s="4" t="n"/>
      <c r="P392" s="4" t="n"/>
    </row>
    <row r="393">
      <c r="A393" s="4" t="n"/>
      <c r="B393" s="4" t="n"/>
      <c r="C393" s="6" t="n"/>
      <c r="D393" s="4" t="n"/>
      <c r="E393" s="4" t="n"/>
      <c r="F393" s="4" t="n"/>
      <c r="G393" s="6" t="n"/>
      <c r="H393" s="6" t="n"/>
      <c r="I393" s="6" t="n"/>
      <c r="J393" s="6" t="n"/>
      <c r="K393">
        <f>IF(OR(C393="",J393=""),"",NETWORKDAYS(C393,J393,Fériés!$A$2:$A$40)-1)</f>
        <v/>
      </c>
      <c r="L393">
        <f>IF(J393="","",IF(H393&lt;&gt;"",IF(J393&lt;=H393,"Oui","NON"),IF(K393&lt;=6,"Oui","NON")))</f>
        <v/>
      </c>
      <c r="M393" s="4" t="n"/>
      <c r="N393" s="4" t="n"/>
      <c r="O393" s="4" t="n"/>
      <c r="P393" s="4" t="n"/>
    </row>
    <row r="394">
      <c r="A394" s="4" t="n"/>
      <c r="B394" s="4" t="n"/>
      <c r="C394" s="6" t="n"/>
      <c r="D394" s="4" t="n"/>
      <c r="E394" s="4" t="n"/>
      <c r="F394" s="4" t="n"/>
      <c r="G394" s="6" t="n"/>
      <c r="H394" s="6" t="n"/>
      <c r="I394" s="6" t="n"/>
      <c r="J394" s="6" t="n"/>
      <c r="K394">
        <f>IF(OR(C394="",J394=""),"",NETWORKDAYS(C394,J394,Fériés!$A$2:$A$40)-1)</f>
        <v/>
      </c>
      <c r="L394">
        <f>IF(J394="","",IF(H394&lt;&gt;"",IF(J394&lt;=H394,"Oui","NON"),IF(K394&lt;=6,"Oui","NON")))</f>
        <v/>
      </c>
      <c r="M394" s="4" t="n"/>
      <c r="N394" s="4" t="n"/>
      <c r="O394" s="4" t="n"/>
      <c r="P394" s="4" t="n"/>
    </row>
    <row r="395">
      <c r="A395" s="4" t="n"/>
      <c r="B395" s="4" t="n"/>
      <c r="C395" s="6" t="n"/>
      <c r="D395" s="4" t="n"/>
      <c r="E395" s="4" t="n"/>
      <c r="F395" s="4" t="n"/>
      <c r="G395" s="6" t="n"/>
      <c r="H395" s="6" t="n"/>
      <c r="I395" s="6" t="n"/>
      <c r="J395" s="6" t="n"/>
      <c r="K395">
        <f>IF(OR(C395="",J395=""),"",NETWORKDAYS(C395,J395,Fériés!$A$2:$A$40)-1)</f>
        <v/>
      </c>
      <c r="L395">
        <f>IF(J395="","",IF(H395&lt;&gt;"",IF(J395&lt;=H395,"Oui","NON"),IF(K395&lt;=6,"Oui","NON")))</f>
        <v/>
      </c>
      <c r="M395" s="4" t="n"/>
      <c r="N395" s="4" t="n"/>
      <c r="O395" s="4" t="n"/>
      <c r="P395" s="4" t="n"/>
    </row>
    <row r="396">
      <c r="A396" s="4" t="n"/>
      <c r="B396" s="4" t="n"/>
      <c r="C396" s="6" t="n"/>
      <c r="D396" s="4" t="n"/>
      <c r="E396" s="4" t="n"/>
      <c r="F396" s="4" t="n"/>
      <c r="G396" s="6" t="n"/>
      <c r="H396" s="6" t="n"/>
      <c r="I396" s="6" t="n"/>
      <c r="J396" s="6" t="n"/>
      <c r="K396">
        <f>IF(OR(C396="",J396=""),"",NETWORKDAYS(C396,J396,Fériés!$A$2:$A$40)-1)</f>
        <v/>
      </c>
      <c r="L396">
        <f>IF(J396="","",IF(H396&lt;&gt;"",IF(J396&lt;=H396,"Oui","NON"),IF(K396&lt;=6,"Oui","NON")))</f>
        <v/>
      </c>
      <c r="M396" s="4" t="n"/>
      <c r="N396" s="4" t="n"/>
      <c r="O396" s="4" t="n"/>
      <c r="P396" s="4" t="n"/>
    </row>
    <row r="397">
      <c r="A397" s="4" t="n"/>
      <c r="B397" s="4" t="n"/>
      <c r="C397" s="6" t="n"/>
      <c r="D397" s="4" t="n"/>
      <c r="E397" s="4" t="n"/>
      <c r="F397" s="4" t="n"/>
      <c r="G397" s="6" t="n"/>
      <c r="H397" s="6" t="n"/>
      <c r="I397" s="6" t="n"/>
      <c r="J397" s="6" t="n"/>
      <c r="K397">
        <f>IF(OR(C397="",J397=""),"",NETWORKDAYS(C397,J397,Fériés!$A$2:$A$40)-1)</f>
        <v/>
      </c>
      <c r="L397">
        <f>IF(J397="","",IF(H397&lt;&gt;"",IF(J397&lt;=H397,"Oui","NON"),IF(K397&lt;=6,"Oui","NON")))</f>
        <v/>
      </c>
      <c r="M397" s="4" t="n"/>
      <c r="N397" s="4" t="n"/>
      <c r="O397" s="4" t="n"/>
      <c r="P397" s="4" t="n"/>
    </row>
    <row r="398">
      <c r="A398" s="4" t="n"/>
      <c r="B398" s="4" t="n"/>
      <c r="C398" s="6" t="n"/>
      <c r="D398" s="4" t="n"/>
      <c r="E398" s="4" t="n"/>
      <c r="F398" s="4" t="n"/>
      <c r="G398" s="6" t="n"/>
      <c r="H398" s="6" t="n"/>
      <c r="I398" s="6" t="n"/>
      <c r="J398" s="6" t="n"/>
      <c r="K398">
        <f>IF(OR(C398="",J398=""),"",NETWORKDAYS(C398,J398,Fériés!$A$2:$A$40)-1)</f>
        <v/>
      </c>
      <c r="L398">
        <f>IF(J398="","",IF(H398&lt;&gt;"",IF(J398&lt;=H398,"Oui","NON"),IF(K398&lt;=6,"Oui","NON")))</f>
        <v/>
      </c>
      <c r="M398" s="4" t="n"/>
      <c r="N398" s="4" t="n"/>
      <c r="O398" s="4" t="n"/>
      <c r="P398" s="4" t="n"/>
    </row>
    <row r="399">
      <c r="A399" s="4" t="n"/>
      <c r="B399" s="4" t="n"/>
      <c r="C399" s="6" t="n"/>
      <c r="D399" s="4" t="n"/>
      <c r="E399" s="4" t="n"/>
      <c r="F399" s="4" t="n"/>
      <c r="G399" s="6" t="n"/>
      <c r="H399" s="6" t="n"/>
      <c r="I399" s="6" t="n"/>
      <c r="J399" s="6" t="n"/>
      <c r="K399">
        <f>IF(OR(C399="",J399=""),"",NETWORKDAYS(C399,J399,Fériés!$A$2:$A$40)-1)</f>
        <v/>
      </c>
      <c r="L399">
        <f>IF(J399="","",IF(H399&lt;&gt;"",IF(J399&lt;=H399,"Oui","NON"),IF(K399&lt;=6,"Oui","NON")))</f>
        <v/>
      </c>
      <c r="M399" s="4" t="n"/>
      <c r="N399" s="4" t="n"/>
      <c r="O399" s="4" t="n"/>
      <c r="P399" s="4" t="n"/>
    </row>
    <row r="400">
      <c r="A400" s="4" t="n"/>
      <c r="B400" s="4" t="n"/>
      <c r="C400" s="6" t="n"/>
      <c r="D400" s="4" t="n"/>
      <c r="E400" s="4" t="n"/>
      <c r="F400" s="4" t="n"/>
      <c r="G400" s="6" t="n"/>
      <c r="H400" s="6" t="n"/>
      <c r="I400" s="6" t="n"/>
      <c r="J400" s="6" t="n"/>
      <c r="K400">
        <f>IF(OR(C400="",J400=""),"",NETWORKDAYS(C400,J400,Fériés!$A$2:$A$40)-1)</f>
        <v/>
      </c>
      <c r="L400">
        <f>IF(J400="","",IF(H400&lt;&gt;"",IF(J400&lt;=H400,"Oui","NON"),IF(K400&lt;=6,"Oui","NON")))</f>
        <v/>
      </c>
      <c r="M400" s="4" t="n"/>
      <c r="N400" s="4" t="n"/>
      <c r="O400" s="4" t="n"/>
      <c r="P400" s="4" t="n"/>
    </row>
    <row r="401">
      <c r="A401" s="4" t="n"/>
      <c r="B401" s="4" t="n"/>
      <c r="C401" s="6" t="n"/>
      <c r="D401" s="4" t="n"/>
      <c r="E401" s="4" t="n"/>
      <c r="F401" s="4" t="n"/>
      <c r="G401" s="6" t="n"/>
      <c r="H401" s="6" t="n"/>
      <c r="I401" s="6" t="n"/>
      <c r="J401" s="6" t="n"/>
      <c r="K401">
        <f>IF(OR(C401="",J401=""),"",NETWORKDAYS(C401,J401,Fériés!$A$2:$A$40)-1)</f>
        <v/>
      </c>
      <c r="L401">
        <f>IF(J401="","",IF(H401&lt;&gt;"",IF(J401&lt;=H401,"Oui","NON"),IF(K401&lt;=6,"Oui","NON")))</f>
        <v/>
      </c>
      <c r="M401" s="4" t="n"/>
      <c r="N401" s="4" t="n"/>
      <c r="O401" s="4" t="n"/>
      <c r="P401" s="4" t="n"/>
    </row>
    <row r="402">
      <c r="A402" s="4" t="n"/>
      <c r="B402" s="4" t="n"/>
      <c r="C402" s="6" t="n"/>
      <c r="D402" s="4" t="n"/>
      <c r="E402" s="4" t="n"/>
      <c r="F402" s="4" t="n"/>
      <c r="G402" s="6" t="n"/>
      <c r="H402" s="6" t="n"/>
      <c r="I402" s="6" t="n"/>
      <c r="J402" s="6" t="n"/>
      <c r="K402">
        <f>IF(OR(C402="",J402=""),"",NETWORKDAYS(C402,J402,Fériés!$A$2:$A$40)-1)</f>
        <v/>
      </c>
      <c r="L402">
        <f>IF(J402="","",IF(H402&lt;&gt;"",IF(J402&lt;=H402,"Oui","NON"),IF(K402&lt;=6,"Oui","NON")))</f>
        <v/>
      </c>
      <c r="M402" s="4" t="n"/>
      <c r="N402" s="4" t="n"/>
      <c r="O402" s="4" t="n"/>
      <c r="P402" s="4" t="n"/>
    </row>
    <row r="403">
      <c r="A403" s="4" t="n"/>
      <c r="B403" s="4" t="n"/>
      <c r="C403" s="6" t="n"/>
      <c r="D403" s="4" t="n"/>
      <c r="E403" s="4" t="n"/>
      <c r="F403" s="4" t="n"/>
      <c r="G403" s="6" t="n"/>
      <c r="H403" s="6" t="n"/>
      <c r="I403" s="6" t="n"/>
      <c r="J403" s="6" t="n"/>
      <c r="K403">
        <f>IF(OR(C403="",J403=""),"",NETWORKDAYS(C403,J403,Fériés!$A$2:$A$40)-1)</f>
        <v/>
      </c>
      <c r="L403">
        <f>IF(J403="","",IF(H403&lt;&gt;"",IF(J403&lt;=H403,"Oui","NON"),IF(K403&lt;=6,"Oui","NON")))</f>
        <v/>
      </c>
      <c r="M403" s="4" t="n"/>
      <c r="N403" s="4" t="n"/>
      <c r="O403" s="4" t="n"/>
      <c r="P403" s="4" t="n"/>
    </row>
    <row r="404">
      <c r="A404" s="4" t="n"/>
      <c r="B404" s="4" t="n"/>
      <c r="C404" s="6" t="n"/>
      <c r="D404" s="4" t="n"/>
      <c r="E404" s="4" t="n"/>
      <c r="F404" s="4" t="n"/>
      <c r="G404" s="6" t="n"/>
      <c r="H404" s="6" t="n"/>
      <c r="I404" s="6" t="n"/>
      <c r="J404" s="6" t="n"/>
      <c r="K404">
        <f>IF(OR(C404="",J404=""),"",NETWORKDAYS(C404,J404,Fériés!$A$2:$A$40)-1)</f>
        <v/>
      </c>
      <c r="L404">
        <f>IF(J404="","",IF(H404&lt;&gt;"",IF(J404&lt;=H404,"Oui","NON"),IF(K404&lt;=6,"Oui","NON")))</f>
        <v/>
      </c>
      <c r="M404" s="4" t="n"/>
      <c r="N404" s="4" t="n"/>
      <c r="O404" s="4" t="n"/>
      <c r="P404" s="4" t="n"/>
    </row>
    <row r="405">
      <c r="A405" s="4" t="n"/>
      <c r="B405" s="4" t="n"/>
      <c r="C405" s="6" t="n"/>
      <c r="D405" s="4" t="n"/>
      <c r="E405" s="4" t="n"/>
      <c r="F405" s="4" t="n"/>
      <c r="G405" s="6" t="n"/>
      <c r="H405" s="6" t="n"/>
      <c r="I405" s="6" t="n"/>
      <c r="J405" s="6" t="n"/>
      <c r="K405">
        <f>IF(OR(C405="",J405=""),"",NETWORKDAYS(C405,J405,Fériés!$A$2:$A$40)-1)</f>
        <v/>
      </c>
      <c r="L405">
        <f>IF(J405="","",IF(H405&lt;&gt;"",IF(J405&lt;=H405,"Oui","NON"),IF(K405&lt;=6,"Oui","NON")))</f>
        <v/>
      </c>
      <c r="M405" s="4" t="n"/>
      <c r="N405" s="4" t="n"/>
      <c r="O405" s="4" t="n"/>
      <c r="P405" s="4" t="n"/>
    </row>
    <row r="406">
      <c r="A406" s="4" t="n"/>
      <c r="B406" s="4" t="n"/>
      <c r="C406" s="6" t="n"/>
      <c r="D406" s="4" t="n"/>
      <c r="E406" s="4" t="n"/>
      <c r="F406" s="4" t="n"/>
      <c r="G406" s="6" t="n"/>
      <c r="H406" s="6" t="n"/>
      <c r="I406" s="6" t="n"/>
      <c r="J406" s="6" t="n"/>
      <c r="K406">
        <f>IF(OR(C406="",J406=""),"",NETWORKDAYS(C406,J406,Fériés!$A$2:$A$40)-1)</f>
        <v/>
      </c>
      <c r="L406">
        <f>IF(J406="","",IF(H406&lt;&gt;"",IF(J406&lt;=H406,"Oui","NON"),IF(K406&lt;=6,"Oui","NON")))</f>
        <v/>
      </c>
      <c r="M406" s="4" t="n"/>
      <c r="N406" s="4" t="n"/>
      <c r="O406" s="4" t="n"/>
      <c r="P406" s="4" t="n"/>
    </row>
    <row r="407">
      <c r="A407" s="4" t="n"/>
      <c r="B407" s="4" t="n"/>
      <c r="C407" s="6" t="n"/>
      <c r="D407" s="4" t="n"/>
      <c r="E407" s="4" t="n"/>
      <c r="F407" s="4" t="n"/>
      <c r="G407" s="6" t="n"/>
      <c r="H407" s="6" t="n"/>
      <c r="I407" s="6" t="n"/>
      <c r="J407" s="6" t="n"/>
      <c r="K407">
        <f>IF(OR(C407="",J407=""),"",NETWORKDAYS(C407,J407,Fériés!$A$2:$A$40)-1)</f>
        <v/>
      </c>
      <c r="L407">
        <f>IF(J407="","",IF(H407&lt;&gt;"",IF(J407&lt;=H407,"Oui","NON"),IF(K407&lt;=6,"Oui","NON")))</f>
        <v/>
      </c>
      <c r="M407" s="4" t="n"/>
      <c r="N407" s="4" t="n"/>
      <c r="O407" s="4" t="n"/>
      <c r="P407" s="4" t="n"/>
    </row>
    <row r="408">
      <c r="A408" s="4" t="n"/>
      <c r="B408" s="4" t="n"/>
      <c r="C408" s="6" t="n"/>
      <c r="D408" s="4" t="n"/>
      <c r="E408" s="4" t="n"/>
      <c r="F408" s="4" t="n"/>
      <c r="G408" s="6" t="n"/>
      <c r="H408" s="6" t="n"/>
      <c r="I408" s="6" t="n"/>
      <c r="J408" s="6" t="n"/>
      <c r="K408">
        <f>IF(OR(C408="",J408=""),"",NETWORKDAYS(C408,J408,Fériés!$A$2:$A$40)-1)</f>
        <v/>
      </c>
      <c r="L408">
        <f>IF(J408="","",IF(H408&lt;&gt;"",IF(J408&lt;=H408,"Oui","NON"),IF(K408&lt;=6,"Oui","NON")))</f>
        <v/>
      </c>
      <c r="M408" s="4" t="n"/>
      <c r="N408" s="4" t="n"/>
      <c r="O408" s="4" t="n"/>
      <c r="P408" s="4" t="n"/>
    </row>
    <row r="409">
      <c r="A409" s="4" t="n"/>
      <c r="B409" s="4" t="n"/>
      <c r="C409" s="6" t="n"/>
      <c r="D409" s="4" t="n"/>
      <c r="E409" s="4" t="n"/>
      <c r="F409" s="4" t="n"/>
      <c r="G409" s="6" t="n"/>
      <c r="H409" s="6" t="n"/>
      <c r="I409" s="6" t="n"/>
      <c r="J409" s="6" t="n"/>
      <c r="K409">
        <f>IF(OR(C409="",J409=""),"",NETWORKDAYS(C409,J409,Fériés!$A$2:$A$40)-1)</f>
        <v/>
      </c>
      <c r="L409">
        <f>IF(J409="","",IF(H409&lt;&gt;"",IF(J409&lt;=H409,"Oui","NON"),IF(K409&lt;=6,"Oui","NON")))</f>
        <v/>
      </c>
      <c r="M409" s="4" t="n"/>
      <c r="N409" s="4" t="n"/>
      <c r="O409" s="4" t="n"/>
      <c r="P409" s="4" t="n"/>
    </row>
    <row r="410">
      <c r="A410" s="4" t="n"/>
      <c r="B410" s="4" t="n"/>
      <c r="C410" s="6" t="n"/>
      <c r="D410" s="4" t="n"/>
      <c r="E410" s="4" t="n"/>
      <c r="F410" s="4" t="n"/>
      <c r="G410" s="6" t="n"/>
      <c r="H410" s="6" t="n"/>
      <c r="I410" s="6" t="n"/>
      <c r="J410" s="6" t="n"/>
      <c r="K410">
        <f>IF(OR(C410="",J410=""),"",NETWORKDAYS(C410,J410,Fériés!$A$2:$A$40)-1)</f>
        <v/>
      </c>
      <c r="L410">
        <f>IF(J410="","",IF(H410&lt;&gt;"",IF(J410&lt;=H410,"Oui","NON"),IF(K410&lt;=6,"Oui","NON")))</f>
        <v/>
      </c>
      <c r="M410" s="4" t="n"/>
      <c r="N410" s="4" t="n"/>
      <c r="O410" s="4" t="n"/>
      <c r="P410" s="4" t="n"/>
    </row>
    <row r="411">
      <c r="A411" s="4" t="n"/>
      <c r="B411" s="4" t="n"/>
      <c r="C411" s="6" t="n"/>
      <c r="D411" s="4" t="n"/>
      <c r="E411" s="4" t="n"/>
      <c r="F411" s="4" t="n"/>
      <c r="G411" s="6" t="n"/>
      <c r="H411" s="6" t="n"/>
      <c r="I411" s="6" t="n"/>
      <c r="J411" s="6" t="n"/>
      <c r="K411">
        <f>IF(OR(C411="",J411=""),"",NETWORKDAYS(C411,J411,Fériés!$A$2:$A$40)-1)</f>
        <v/>
      </c>
      <c r="L411">
        <f>IF(J411="","",IF(H411&lt;&gt;"",IF(J411&lt;=H411,"Oui","NON"),IF(K411&lt;=6,"Oui","NON")))</f>
        <v/>
      </c>
      <c r="M411" s="4" t="n"/>
      <c r="N411" s="4" t="n"/>
      <c r="O411" s="4" t="n"/>
      <c r="P411" s="4" t="n"/>
    </row>
    <row r="412">
      <c r="A412" s="4" t="n"/>
      <c r="B412" s="4" t="n"/>
      <c r="C412" s="6" t="n"/>
      <c r="D412" s="4" t="n"/>
      <c r="E412" s="4" t="n"/>
      <c r="F412" s="4" t="n"/>
      <c r="G412" s="6" t="n"/>
      <c r="H412" s="6" t="n"/>
      <c r="I412" s="6" t="n"/>
      <c r="J412" s="6" t="n"/>
      <c r="K412">
        <f>IF(OR(C412="",J412=""),"",NETWORKDAYS(C412,J412,Fériés!$A$2:$A$40)-1)</f>
        <v/>
      </c>
      <c r="L412">
        <f>IF(J412="","",IF(H412&lt;&gt;"",IF(J412&lt;=H412,"Oui","NON"),IF(K412&lt;=6,"Oui","NON")))</f>
        <v/>
      </c>
      <c r="M412" s="4" t="n"/>
      <c r="N412" s="4" t="n"/>
      <c r="O412" s="4" t="n"/>
      <c r="P412" s="4" t="n"/>
    </row>
    <row r="413">
      <c r="A413" s="4" t="n"/>
      <c r="B413" s="4" t="n"/>
      <c r="C413" s="6" t="n"/>
      <c r="D413" s="4" t="n"/>
      <c r="E413" s="4" t="n"/>
      <c r="F413" s="4" t="n"/>
      <c r="G413" s="6" t="n"/>
      <c r="H413" s="6" t="n"/>
      <c r="I413" s="6" t="n"/>
      <c r="J413" s="6" t="n"/>
      <c r="K413">
        <f>IF(OR(C413="",J413=""),"",NETWORKDAYS(C413,J413,Fériés!$A$2:$A$40)-1)</f>
        <v/>
      </c>
      <c r="L413">
        <f>IF(J413="","",IF(H413&lt;&gt;"",IF(J413&lt;=H413,"Oui","NON"),IF(K413&lt;=6,"Oui","NON")))</f>
        <v/>
      </c>
      <c r="M413" s="4" t="n"/>
      <c r="N413" s="4" t="n"/>
      <c r="O413" s="4" t="n"/>
      <c r="P413" s="4" t="n"/>
    </row>
    <row r="414">
      <c r="A414" s="4" t="n"/>
      <c r="B414" s="4" t="n"/>
      <c r="C414" s="6" t="n"/>
      <c r="D414" s="4" t="n"/>
      <c r="E414" s="4" t="n"/>
      <c r="F414" s="4" t="n"/>
      <c r="G414" s="6" t="n"/>
      <c r="H414" s="6" t="n"/>
      <c r="I414" s="6" t="n"/>
      <c r="J414" s="6" t="n"/>
      <c r="K414">
        <f>IF(OR(C414="",J414=""),"",NETWORKDAYS(C414,J414,Fériés!$A$2:$A$40)-1)</f>
        <v/>
      </c>
      <c r="L414">
        <f>IF(J414="","",IF(H414&lt;&gt;"",IF(J414&lt;=H414,"Oui","NON"),IF(K414&lt;=6,"Oui","NON")))</f>
        <v/>
      </c>
      <c r="M414" s="4" t="n"/>
      <c r="N414" s="4" t="n"/>
      <c r="O414" s="4" t="n"/>
      <c r="P414" s="4" t="n"/>
    </row>
    <row r="415">
      <c r="A415" s="4" t="n"/>
      <c r="B415" s="4" t="n"/>
      <c r="C415" s="6" t="n"/>
      <c r="D415" s="4" t="n"/>
      <c r="E415" s="4" t="n"/>
      <c r="F415" s="4" t="n"/>
      <c r="G415" s="6" t="n"/>
      <c r="H415" s="6" t="n"/>
      <c r="I415" s="6" t="n"/>
      <c r="J415" s="6" t="n"/>
      <c r="K415">
        <f>IF(OR(C415="",J415=""),"",NETWORKDAYS(C415,J415,Fériés!$A$2:$A$40)-1)</f>
        <v/>
      </c>
      <c r="L415">
        <f>IF(J415="","",IF(H415&lt;&gt;"",IF(J415&lt;=H415,"Oui","NON"),IF(K415&lt;=6,"Oui","NON")))</f>
        <v/>
      </c>
      <c r="M415" s="4" t="n"/>
      <c r="N415" s="4" t="n"/>
      <c r="O415" s="4" t="n"/>
      <c r="P415" s="4" t="n"/>
    </row>
    <row r="416">
      <c r="A416" s="4" t="n"/>
      <c r="B416" s="4" t="n"/>
      <c r="C416" s="6" t="n"/>
      <c r="D416" s="4" t="n"/>
      <c r="E416" s="4" t="n"/>
      <c r="F416" s="4" t="n"/>
      <c r="G416" s="6" t="n"/>
      <c r="H416" s="6" t="n"/>
      <c r="I416" s="6" t="n"/>
      <c r="J416" s="6" t="n"/>
      <c r="K416">
        <f>IF(OR(C416="",J416=""),"",NETWORKDAYS(C416,J416,Fériés!$A$2:$A$40)-1)</f>
        <v/>
      </c>
      <c r="L416">
        <f>IF(J416="","",IF(H416&lt;&gt;"",IF(J416&lt;=H416,"Oui","NON"),IF(K416&lt;=6,"Oui","NON")))</f>
        <v/>
      </c>
      <c r="M416" s="4" t="n"/>
      <c r="N416" s="4" t="n"/>
      <c r="O416" s="4" t="n"/>
      <c r="P416" s="4" t="n"/>
    </row>
    <row r="417">
      <c r="A417" s="4" t="n"/>
      <c r="B417" s="4" t="n"/>
      <c r="C417" s="6" t="n"/>
      <c r="D417" s="4" t="n"/>
      <c r="E417" s="4" t="n"/>
      <c r="F417" s="4" t="n"/>
      <c r="G417" s="6" t="n"/>
      <c r="H417" s="6" t="n"/>
      <c r="I417" s="6" t="n"/>
      <c r="J417" s="6" t="n"/>
      <c r="K417">
        <f>IF(OR(C417="",J417=""),"",NETWORKDAYS(C417,J417,Fériés!$A$2:$A$40)-1)</f>
        <v/>
      </c>
      <c r="L417">
        <f>IF(J417="","",IF(H417&lt;&gt;"",IF(J417&lt;=H417,"Oui","NON"),IF(K417&lt;=6,"Oui","NON")))</f>
        <v/>
      </c>
      <c r="M417" s="4" t="n"/>
      <c r="N417" s="4" t="n"/>
      <c r="O417" s="4" t="n"/>
      <c r="P417" s="4" t="n"/>
    </row>
    <row r="418">
      <c r="A418" s="4" t="n"/>
      <c r="B418" s="4" t="n"/>
      <c r="C418" s="6" t="n"/>
      <c r="D418" s="4" t="n"/>
      <c r="E418" s="4" t="n"/>
      <c r="F418" s="4" t="n"/>
      <c r="G418" s="6" t="n"/>
      <c r="H418" s="6" t="n"/>
      <c r="I418" s="6" t="n"/>
      <c r="J418" s="6" t="n"/>
      <c r="K418">
        <f>IF(OR(C418="",J418=""),"",NETWORKDAYS(C418,J418,Fériés!$A$2:$A$40)-1)</f>
        <v/>
      </c>
      <c r="L418">
        <f>IF(J418="","",IF(H418&lt;&gt;"",IF(J418&lt;=H418,"Oui","NON"),IF(K418&lt;=6,"Oui","NON")))</f>
        <v/>
      </c>
      <c r="M418" s="4" t="n"/>
      <c r="N418" s="4" t="n"/>
      <c r="O418" s="4" t="n"/>
      <c r="P418" s="4" t="n"/>
    </row>
    <row r="419">
      <c r="A419" s="4" t="n"/>
      <c r="B419" s="4" t="n"/>
      <c r="C419" s="6" t="n"/>
      <c r="D419" s="4" t="n"/>
      <c r="E419" s="4" t="n"/>
      <c r="F419" s="4" t="n"/>
      <c r="G419" s="6" t="n"/>
      <c r="H419" s="6" t="n"/>
      <c r="I419" s="6" t="n"/>
      <c r="J419" s="6" t="n"/>
      <c r="K419">
        <f>IF(OR(C419="",J419=""),"",NETWORKDAYS(C419,J419,Fériés!$A$2:$A$40)-1)</f>
        <v/>
      </c>
      <c r="L419">
        <f>IF(J419="","",IF(H419&lt;&gt;"",IF(J419&lt;=H419,"Oui","NON"),IF(K419&lt;=6,"Oui","NON")))</f>
        <v/>
      </c>
      <c r="M419" s="4" t="n"/>
      <c r="N419" s="4" t="n"/>
      <c r="O419" s="4" t="n"/>
      <c r="P419" s="4" t="n"/>
    </row>
    <row r="420">
      <c r="A420" s="4" t="n"/>
      <c r="B420" s="4" t="n"/>
      <c r="C420" s="6" t="n"/>
      <c r="D420" s="4" t="n"/>
      <c r="E420" s="4" t="n"/>
      <c r="F420" s="4" t="n"/>
      <c r="G420" s="6" t="n"/>
      <c r="H420" s="6" t="n"/>
      <c r="I420" s="6" t="n"/>
      <c r="J420" s="6" t="n"/>
      <c r="K420">
        <f>IF(OR(C420="",J420=""),"",NETWORKDAYS(C420,J420,Fériés!$A$2:$A$40)-1)</f>
        <v/>
      </c>
      <c r="L420">
        <f>IF(J420="","",IF(H420&lt;&gt;"",IF(J420&lt;=H420,"Oui","NON"),IF(K420&lt;=6,"Oui","NON")))</f>
        <v/>
      </c>
      <c r="M420" s="4" t="n"/>
      <c r="N420" s="4" t="n"/>
      <c r="O420" s="4" t="n"/>
      <c r="P420" s="4" t="n"/>
    </row>
    <row r="421">
      <c r="A421" s="4" t="n"/>
      <c r="B421" s="4" t="n"/>
      <c r="C421" s="6" t="n"/>
      <c r="D421" s="4" t="n"/>
      <c r="E421" s="4" t="n"/>
      <c r="F421" s="4" t="n"/>
      <c r="G421" s="6" t="n"/>
      <c r="H421" s="6" t="n"/>
      <c r="I421" s="6" t="n"/>
      <c r="J421" s="6" t="n"/>
      <c r="K421">
        <f>IF(OR(C421="",J421=""),"",NETWORKDAYS(C421,J421,Fériés!$A$2:$A$40)-1)</f>
        <v/>
      </c>
      <c r="L421">
        <f>IF(J421="","",IF(H421&lt;&gt;"",IF(J421&lt;=H421,"Oui","NON"),IF(K421&lt;=6,"Oui","NON")))</f>
        <v/>
      </c>
      <c r="M421" s="4" t="n"/>
      <c r="N421" s="4" t="n"/>
      <c r="O421" s="4" t="n"/>
      <c r="P421" s="4" t="n"/>
    </row>
    <row r="422">
      <c r="A422" s="4" t="n"/>
      <c r="B422" s="4" t="n"/>
      <c r="C422" s="6" t="n"/>
      <c r="D422" s="4" t="n"/>
      <c r="E422" s="4" t="n"/>
      <c r="F422" s="4" t="n"/>
      <c r="G422" s="6" t="n"/>
      <c r="H422" s="6" t="n"/>
      <c r="I422" s="6" t="n"/>
      <c r="J422" s="6" t="n"/>
      <c r="K422">
        <f>IF(OR(C422="",J422=""),"",NETWORKDAYS(C422,J422,Fériés!$A$2:$A$40)-1)</f>
        <v/>
      </c>
      <c r="L422">
        <f>IF(J422="","",IF(H422&lt;&gt;"",IF(J422&lt;=H422,"Oui","NON"),IF(K422&lt;=6,"Oui","NON")))</f>
        <v/>
      </c>
      <c r="M422" s="4" t="n"/>
      <c r="N422" s="4" t="n"/>
      <c r="O422" s="4" t="n"/>
      <c r="P422" s="4" t="n"/>
    </row>
    <row r="423">
      <c r="A423" s="4" t="n"/>
      <c r="B423" s="4" t="n"/>
      <c r="C423" s="6" t="n"/>
      <c r="D423" s="4" t="n"/>
      <c r="E423" s="4" t="n"/>
      <c r="F423" s="4" t="n"/>
      <c r="G423" s="6" t="n"/>
      <c r="H423" s="6" t="n"/>
      <c r="I423" s="6" t="n"/>
      <c r="J423" s="6" t="n"/>
      <c r="K423">
        <f>IF(OR(C423="",J423=""),"",NETWORKDAYS(C423,J423,Fériés!$A$2:$A$40)-1)</f>
        <v/>
      </c>
      <c r="L423">
        <f>IF(J423="","",IF(H423&lt;&gt;"",IF(J423&lt;=H423,"Oui","NON"),IF(K423&lt;=6,"Oui","NON")))</f>
        <v/>
      </c>
      <c r="M423" s="4" t="n"/>
      <c r="N423" s="4" t="n"/>
      <c r="O423" s="4" t="n"/>
      <c r="P423" s="4" t="n"/>
    </row>
    <row r="424">
      <c r="A424" s="4" t="n"/>
      <c r="B424" s="4" t="n"/>
      <c r="C424" s="6" t="n"/>
      <c r="D424" s="4" t="n"/>
      <c r="E424" s="4" t="n"/>
      <c r="F424" s="4" t="n"/>
      <c r="G424" s="6" t="n"/>
      <c r="H424" s="6" t="n"/>
      <c r="I424" s="6" t="n"/>
      <c r="J424" s="6" t="n"/>
      <c r="K424">
        <f>IF(OR(C424="",J424=""),"",NETWORKDAYS(C424,J424,Fériés!$A$2:$A$40)-1)</f>
        <v/>
      </c>
      <c r="L424">
        <f>IF(J424="","",IF(H424&lt;&gt;"",IF(J424&lt;=H424,"Oui","NON"),IF(K424&lt;=6,"Oui","NON")))</f>
        <v/>
      </c>
      <c r="M424" s="4" t="n"/>
      <c r="N424" s="4" t="n"/>
      <c r="O424" s="4" t="n"/>
      <c r="P424" s="4" t="n"/>
    </row>
    <row r="425">
      <c r="A425" s="4" t="n"/>
      <c r="B425" s="4" t="n"/>
      <c r="C425" s="6" t="n"/>
      <c r="D425" s="4" t="n"/>
      <c r="E425" s="4" t="n"/>
      <c r="F425" s="4" t="n"/>
      <c r="G425" s="6" t="n"/>
      <c r="H425" s="6" t="n"/>
      <c r="I425" s="6" t="n"/>
      <c r="J425" s="6" t="n"/>
      <c r="K425">
        <f>IF(OR(C425="",J425=""),"",NETWORKDAYS(C425,J425,Fériés!$A$2:$A$40)-1)</f>
        <v/>
      </c>
      <c r="L425">
        <f>IF(J425="","",IF(H425&lt;&gt;"",IF(J425&lt;=H425,"Oui","NON"),IF(K425&lt;=6,"Oui","NON")))</f>
        <v/>
      </c>
      <c r="M425" s="4" t="n"/>
      <c r="N425" s="4" t="n"/>
      <c r="O425" s="4" t="n"/>
      <c r="P425" s="4" t="n"/>
    </row>
    <row r="426">
      <c r="A426" s="4" t="n"/>
      <c r="B426" s="4" t="n"/>
      <c r="C426" s="6" t="n"/>
      <c r="D426" s="4" t="n"/>
      <c r="E426" s="4" t="n"/>
      <c r="F426" s="4" t="n"/>
      <c r="G426" s="6" t="n"/>
      <c r="H426" s="6" t="n"/>
      <c r="I426" s="6" t="n"/>
      <c r="J426" s="6" t="n"/>
      <c r="K426">
        <f>IF(OR(C426="",J426=""),"",NETWORKDAYS(C426,J426,Fériés!$A$2:$A$40)-1)</f>
        <v/>
      </c>
      <c r="L426">
        <f>IF(J426="","",IF(H426&lt;&gt;"",IF(J426&lt;=H426,"Oui","NON"),IF(K426&lt;=6,"Oui","NON")))</f>
        <v/>
      </c>
      <c r="M426" s="4" t="n"/>
      <c r="N426" s="4" t="n"/>
      <c r="O426" s="4" t="n"/>
      <c r="P426" s="4" t="n"/>
    </row>
    <row r="427">
      <c r="A427" s="4" t="n"/>
      <c r="B427" s="4" t="n"/>
      <c r="C427" s="6" t="n"/>
      <c r="D427" s="4" t="n"/>
      <c r="E427" s="4" t="n"/>
      <c r="F427" s="4" t="n"/>
      <c r="G427" s="6" t="n"/>
      <c r="H427" s="6" t="n"/>
      <c r="I427" s="6" t="n"/>
      <c r="J427" s="6" t="n"/>
      <c r="K427">
        <f>IF(OR(C427="",J427=""),"",NETWORKDAYS(C427,J427,Fériés!$A$2:$A$40)-1)</f>
        <v/>
      </c>
      <c r="L427">
        <f>IF(J427="","",IF(H427&lt;&gt;"",IF(J427&lt;=H427,"Oui","NON"),IF(K427&lt;=6,"Oui","NON")))</f>
        <v/>
      </c>
      <c r="M427" s="4" t="n"/>
      <c r="N427" s="4" t="n"/>
      <c r="O427" s="4" t="n"/>
      <c r="P427" s="4" t="n"/>
    </row>
    <row r="428">
      <c r="A428" s="4" t="n"/>
      <c r="B428" s="4" t="n"/>
      <c r="C428" s="6" t="n"/>
      <c r="D428" s="4" t="n"/>
      <c r="E428" s="4" t="n"/>
      <c r="F428" s="4" t="n"/>
      <c r="G428" s="6" t="n"/>
      <c r="H428" s="6" t="n"/>
      <c r="I428" s="6" t="n"/>
      <c r="J428" s="6" t="n"/>
      <c r="K428">
        <f>IF(OR(C428="",J428=""),"",NETWORKDAYS(C428,J428,Fériés!$A$2:$A$40)-1)</f>
        <v/>
      </c>
      <c r="L428">
        <f>IF(J428="","",IF(H428&lt;&gt;"",IF(J428&lt;=H428,"Oui","NON"),IF(K428&lt;=6,"Oui","NON")))</f>
        <v/>
      </c>
      <c r="M428" s="4" t="n"/>
      <c r="N428" s="4" t="n"/>
      <c r="O428" s="4" t="n"/>
      <c r="P428" s="4" t="n"/>
    </row>
    <row r="429">
      <c r="A429" s="4" t="n"/>
      <c r="B429" s="4" t="n"/>
      <c r="C429" s="6" t="n"/>
      <c r="D429" s="4" t="n"/>
      <c r="E429" s="4" t="n"/>
      <c r="F429" s="4" t="n"/>
      <c r="G429" s="6" t="n"/>
      <c r="H429" s="6" t="n"/>
      <c r="I429" s="6" t="n"/>
      <c r="J429" s="6" t="n"/>
      <c r="K429">
        <f>IF(OR(C429="",J429=""),"",NETWORKDAYS(C429,J429,Fériés!$A$2:$A$40)-1)</f>
        <v/>
      </c>
      <c r="L429">
        <f>IF(J429="","",IF(H429&lt;&gt;"",IF(J429&lt;=H429,"Oui","NON"),IF(K429&lt;=6,"Oui","NON")))</f>
        <v/>
      </c>
      <c r="M429" s="4" t="n"/>
      <c r="N429" s="4" t="n"/>
      <c r="O429" s="4" t="n"/>
      <c r="P429" s="4" t="n"/>
    </row>
    <row r="430">
      <c r="A430" s="4" t="n"/>
      <c r="B430" s="4" t="n"/>
      <c r="C430" s="6" t="n"/>
      <c r="D430" s="4" t="n"/>
      <c r="E430" s="4" t="n"/>
      <c r="F430" s="4" t="n"/>
      <c r="G430" s="6" t="n"/>
      <c r="H430" s="6" t="n"/>
      <c r="I430" s="6" t="n"/>
      <c r="J430" s="6" t="n"/>
      <c r="K430">
        <f>IF(OR(C430="",J430=""),"",NETWORKDAYS(C430,J430,Fériés!$A$2:$A$40)-1)</f>
        <v/>
      </c>
      <c r="L430">
        <f>IF(J430="","",IF(H430&lt;&gt;"",IF(J430&lt;=H430,"Oui","NON"),IF(K430&lt;=6,"Oui","NON")))</f>
        <v/>
      </c>
      <c r="M430" s="4" t="n"/>
      <c r="N430" s="4" t="n"/>
      <c r="O430" s="4" t="n"/>
      <c r="P430" s="4" t="n"/>
    </row>
    <row r="431">
      <c r="A431" s="4" t="n"/>
      <c r="B431" s="4" t="n"/>
      <c r="C431" s="6" t="n"/>
      <c r="D431" s="4" t="n"/>
      <c r="E431" s="4" t="n"/>
      <c r="F431" s="4" t="n"/>
      <c r="G431" s="6" t="n"/>
      <c r="H431" s="6" t="n"/>
      <c r="I431" s="6" t="n"/>
      <c r="J431" s="6" t="n"/>
      <c r="K431">
        <f>IF(OR(C431="",J431=""),"",NETWORKDAYS(C431,J431,Fériés!$A$2:$A$40)-1)</f>
        <v/>
      </c>
      <c r="L431">
        <f>IF(J431="","",IF(H431&lt;&gt;"",IF(J431&lt;=H431,"Oui","NON"),IF(K431&lt;=6,"Oui","NON")))</f>
        <v/>
      </c>
      <c r="M431" s="4" t="n"/>
      <c r="N431" s="4" t="n"/>
      <c r="O431" s="4" t="n"/>
      <c r="P431" s="4" t="n"/>
    </row>
    <row r="432">
      <c r="A432" s="4" t="n"/>
      <c r="B432" s="4" t="n"/>
      <c r="C432" s="6" t="n"/>
      <c r="D432" s="4" t="n"/>
      <c r="E432" s="4" t="n"/>
      <c r="F432" s="4" t="n"/>
      <c r="G432" s="6" t="n"/>
      <c r="H432" s="6" t="n"/>
      <c r="I432" s="6" t="n"/>
      <c r="J432" s="6" t="n"/>
      <c r="K432">
        <f>IF(OR(C432="",J432=""),"",NETWORKDAYS(C432,J432,Fériés!$A$2:$A$40)-1)</f>
        <v/>
      </c>
      <c r="L432">
        <f>IF(J432="","",IF(H432&lt;&gt;"",IF(J432&lt;=H432,"Oui","NON"),IF(K432&lt;=6,"Oui","NON")))</f>
        <v/>
      </c>
      <c r="M432" s="4" t="n"/>
      <c r="N432" s="4" t="n"/>
      <c r="O432" s="4" t="n"/>
      <c r="P432" s="4" t="n"/>
    </row>
    <row r="433">
      <c r="A433" s="4" t="n"/>
      <c r="B433" s="4" t="n"/>
      <c r="C433" s="6" t="n"/>
      <c r="D433" s="4" t="n"/>
      <c r="E433" s="4" t="n"/>
      <c r="F433" s="4" t="n"/>
      <c r="G433" s="6" t="n"/>
      <c r="H433" s="6" t="n"/>
      <c r="I433" s="6" t="n"/>
      <c r="J433" s="6" t="n"/>
      <c r="K433">
        <f>IF(OR(C433="",J433=""),"",NETWORKDAYS(C433,J433,Fériés!$A$2:$A$40)-1)</f>
        <v/>
      </c>
      <c r="L433">
        <f>IF(J433="","",IF(H433&lt;&gt;"",IF(J433&lt;=H433,"Oui","NON"),IF(K433&lt;=6,"Oui","NON")))</f>
        <v/>
      </c>
      <c r="M433" s="4" t="n"/>
      <c r="N433" s="4" t="n"/>
      <c r="O433" s="4" t="n"/>
      <c r="P433" s="4" t="n"/>
    </row>
    <row r="434">
      <c r="A434" s="4" t="n"/>
      <c r="B434" s="4" t="n"/>
      <c r="C434" s="6" t="n"/>
      <c r="D434" s="4" t="n"/>
      <c r="E434" s="4" t="n"/>
      <c r="F434" s="4" t="n"/>
      <c r="G434" s="6" t="n"/>
      <c r="H434" s="6" t="n"/>
      <c r="I434" s="6" t="n"/>
      <c r="J434" s="6" t="n"/>
      <c r="K434">
        <f>IF(OR(C434="",J434=""),"",NETWORKDAYS(C434,J434,Fériés!$A$2:$A$40)-1)</f>
        <v/>
      </c>
      <c r="L434">
        <f>IF(J434="","",IF(H434&lt;&gt;"",IF(J434&lt;=H434,"Oui","NON"),IF(K434&lt;=6,"Oui","NON")))</f>
        <v/>
      </c>
      <c r="M434" s="4" t="n"/>
      <c r="N434" s="4" t="n"/>
      <c r="O434" s="4" t="n"/>
      <c r="P434" s="4" t="n"/>
    </row>
    <row r="435">
      <c r="A435" s="4" t="n"/>
      <c r="B435" s="4" t="n"/>
      <c r="C435" s="6" t="n"/>
      <c r="D435" s="4" t="n"/>
      <c r="E435" s="4" t="n"/>
      <c r="F435" s="4" t="n"/>
      <c r="G435" s="6" t="n"/>
      <c r="H435" s="6" t="n"/>
      <c r="I435" s="6" t="n"/>
      <c r="J435" s="6" t="n"/>
      <c r="K435">
        <f>IF(OR(C435="",J435=""),"",NETWORKDAYS(C435,J435,Fériés!$A$2:$A$40)-1)</f>
        <v/>
      </c>
      <c r="L435">
        <f>IF(J435="","",IF(H435&lt;&gt;"",IF(J435&lt;=H435,"Oui","NON"),IF(K435&lt;=6,"Oui","NON")))</f>
        <v/>
      </c>
      <c r="M435" s="4" t="n"/>
      <c r="N435" s="4" t="n"/>
      <c r="O435" s="4" t="n"/>
      <c r="P435" s="4" t="n"/>
    </row>
    <row r="436">
      <c r="A436" s="4" t="n"/>
      <c r="B436" s="4" t="n"/>
      <c r="C436" s="6" t="n"/>
      <c r="D436" s="4" t="n"/>
      <c r="E436" s="4" t="n"/>
      <c r="F436" s="4" t="n"/>
      <c r="G436" s="6" t="n"/>
      <c r="H436" s="6" t="n"/>
      <c r="I436" s="6" t="n"/>
      <c r="J436" s="6" t="n"/>
      <c r="K436">
        <f>IF(OR(C436="",J436=""),"",NETWORKDAYS(C436,J436,Fériés!$A$2:$A$40)-1)</f>
        <v/>
      </c>
      <c r="L436">
        <f>IF(J436="","",IF(H436&lt;&gt;"",IF(J436&lt;=H436,"Oui","NON"),IF(K436&lt;=6,"Oui","NON")))</f>
        <v/>
      </c>
      <c r="M436" s="4" t="n"/>
      <c r="N436" s="4" t="n"/>
      <c r="O436" s="4" t="n"/>
      <c r="P436" s="4" t="n"/>
    </row>
    <row r="437">
      <c r="A437" s="4" t="n"/>
      <c r="B437" s="4" t="n"/>
      <c r="C437" s="6" t="n"/>
      <c r="D437" s="4" t="n"/>
      <c r="E437" s="4" t="n"/>
      <c r="F437" s="4" t="n"/>
      <c r="G437" s="6" t="n"/>
      <c r="H437" s="6" t="n"/>
      <c r="I437" s="6" t="n"/>
      <c r="J437" s="6" t="n"/>
      <c r="K437">
        <f>IF(OR(C437="",J437=""),"",NETWORKDAYS(C437,J437,Fériés!$A$2:$A$40)-1)</f>
        <v/>
      </c>
      <c r="L437">
        <f>IF(J437="","",IF(H437&lt;&gt;"",IF(J437&lt;=H437,"Oui","NON"),IF(K437&lt;=6,"Oui","NON")))</f>
        <v/>
      </c>
      <c r="M437" s="4" t="n"/>
      <c r="N437" s="4" t="n"/>
      <c r="O437" s="4" t="n"/>
      <c r="P437" s="4" t="n"/>
    </row>
    <row r="438">
      <c r="A438" s="4" t="n"/>
      <c r="B438" s="4" t="n"/>
      <c r="C438" s="6" t="n"/>
      <c r="D438" s="4" t="n"/>
      <c r="E438" s="4" t="n"/>
      <c r="F438" s="4" t="n"/>
      <c r="G438" s="6" t="n"/>
      <c r="H438" s="6" t="n"/>
      <c r="I438" s="6" t="n"/>
      <c r="J438" s="6" t="n"/>
      <c r="K438">
        <f>IF(OR(C438="",J438=""),"",NETWORKDAYS(C438,J438,Fériés!$A$2:$A$40)-1)</f>
        <v/>
      </c>
      <c r="L438">
        <f>IF(J438="","",IF(H438&lt;&gt;"",IF(J438&lt;=H438,"Oui","NON"),IF(K438&lt;=6,"Oui","NON")))</f>
        <v/>
      </c>
      <c r="M438" s="4" t="n"/>
      <c r="N438" s="4" t="n"/>
      <c r="O438" s="4" t="n"/>
      <c r="P438" s="4" t="n"/>
    </row>
    <row r="439">
      <c r="A439" s="4" t="n"/>
      <c r="B439" s="4" t="n"/>
      <c r="C439" s="6" t="n"/>
      <c r="D439" s="4" t="n"/>
      <c r="E439" s="4" t="n"/>
      <c r="F439" s="4" t="n"/>
      <c r="G439" s="6" t="n"/>
      <c r="H439" s="6" t="n"/>
      <c r="I439" s="6" t="n"/>
      <c r="J439" s="6" t="n"/>
      <c r="K439">
        <f>IF(OR(C439="",J439=""),"",NETWORKDAYS(C439,J439,Fériés!$A$2:$A$40)-1)</f>
        <v/>
      </c>
      <c r="L439">
        <f>IF(J439="","",IF(H439&lt;&gt;"",IF(J439&lt;=H439,"Oui","NON"),IF(K439&lt;=6,"Oui","NON")))</f>
        <v/>
      </c>
      <c r="M439" s="4" t="n"/>
      <c r="N439" s="4" t="n"/>
      <c r="O439" s="4" t="n"/>
      <c r="P439" s="4" t="n"/>
    </row>
    <row r="440">
      <c r="A440" s="4" t="n"/>
      <c r="B440" s="4" t="n"/>
      <c r="C440" s="6" t="n"/>
      <c r="D440" s="4" t="n"/>
      <c r="E440" s="4" t="n"/>
      <c r="F440" s="4" t="n"/>
      <c r="G440" s="6" t="n"/>
      <c r="H440" s="6" t="n"/>
      <c r="I440" s="6" t="n"/>
      <c r="J440" s="6" t="n"/>
      <c r="K440">
        <f>IF(OR(C440="",J440=""),"",NETWORKDAYS(C440,J440,Fériés!$A$2:$A$40)-1)</f>
        <v/>
      </c>
      <c r="L440">
        <f>IF(J440="","",IF(H440&lt;&gt;"",IF(J440&lt;=H440,"Oui","NON"),IF(K440&lt;=6,"Oui","NON")))</f>
        <v/>
      </c>
      <c r="M440" s="4" t="n"/>
      <c r="N440" s="4" t="n"/>
      <c r="O440" s="4" t="n"/>
      <c r="P440" s="4" t="n"/>
    </row>
    <row r="441">
      <c r="A441" s="4" t="n"/>
      <c r="B441" s="4" t="n"/>
      <c r="C441" s="6" t="n"/>
      <c r="D441" s="4" t="n"/>
      <c r="E441" s="4" t="n"/>
      <c r="F441" s="4" t="n"/>
      <c r="G441" s="6" t="n"/>
      <c r="H441" s="6" t="n"/>
      <c r="I441" s="6" t="n"/>
      <c r="J441" s="6" t="n"/>
      <c r="K441">
        <f>IF(OR(C441="",J441=""),"",NETWORKDAYS(C441,J441,Fériés!$A$2:$A$40)-1)</f>
        <v/>
      </c>
      <c r="L441">
        <f>IF(J441="","",IF(H441&lt;&gt;"",IF(J441&lt;=H441,"Oui","NON"),IF(K441&lt;=6,"Oui","NON")))</f>
        <v/>
      </c>
      <c r="M441" s="4" t="n"/>
      <c r="N441" s="4" t="n"/>
      <c r="O441" s="4" t="n"/>
      <c r="P441" s="4" t="n"/>
    </row>
    <row r="442">
      <c r="A442" s="4" t="n"/>
      <c r="B442" s="4" t="n"/>
      <c r="C442" s="6" t="n"/>
      <c r="D442" s="4" t="n"/>
      <c r="E442" s="4" t="n"/>
      <c r="F442" s="4" t="n"/>
      <c r="G442" s="6" t="n"/>
      <c r="H442" s="6" t="n"/>
      <c r="I442" s="6" t="n"/>
      <c r="J442" s="6" t="n"/>
      <c r="K442">
        <f>IF(OR(C442="",J442=""),"",NETWORKDAYS(C442,J442,Fériés!$A$2:$A$40)-1)</f>
        <v/>
      </c>
      <c r="L442">
        <f>IF(J442="","",IF(H442&lt;&gt;"",IF(J442&lt;=H442,"Oui","NON"),IF(K442&lt;=6,"Oui","NON")))</f>
        <v/>
      </c>
      <c r="M442" s="4" t="n"/>
      <c r="N442" s="4" t="n"/>
      <c r="O442" s="4" t="n"/>
      <c r="P442" s="4" t="n"/>
    </row>
    <row r="443">
      <c r="A443" s="4" t="n"/>
      <c r="B443" s="4" t="n"/>
      <c r="C443" s="6" t="n"/>
      <c r="D443" s="4" t="n"/>
      <c r="E443" s="4" t="n"/>
      <c r="F443" s="4" t="n"/>
      <c r="G443" s="6" t="n"/>
      <c r="H443" s="6" t="n"/>
      <c r="I443" s="6" t="n"/>
      <c r="J443" s="6" t="n"/>
      <c r="K443">
        <f>IF(OR(C443="",J443=""),"",NETWORKDAYS(C443,J443,Fériés!$A$2:$A$40)-1)</f>
        <v/>
      </c>
      <c r="L443">
        <f>IF(J443="","",IF(H443&lt;&gt;"",IF(J443&lt;=H443,"Oui","NON"),IF(K443&lt;=6,"Oui","NON")))</f>
        <v/>
      </c>
      <c r="M443" s="4" t="n"/>
      <c r="N443" s="4" t="n"/>
      <c r="O443" s="4" t="n"/>
      <c r="P443" s="4" t="n"/>
    </row>
    <row r="444">
      <c r="A444" s="4" t="n"/>
      <c r="B444" s="4" t="n"/>
      <c r="C444" s="6" t="n"/>
      <c r="D444" s="4" t="n"/>
      <c r="E444" s="4" t="n"/>
      <c r="F444" s="4" t="n"/>
      <c r="G444" s="6" t="n"/>
      <c r="H444" s="6" t="n"/>
      <c r="I444" s="6" t="n"/>
      <c r="J444" s="6" t="n"/>
      <c r="K444">
        <f>IF(OR(C444="",J444=""),"",NETWORKDAYS(C444,J444,Fériés!$A$2:$A$40)-1)</f>
        <v/>
      </c>
      <c r="L444">
        <f>IF(J444="","",IF(H444&lt;&gt;"",IF(J444&lt;=H444,"Oui","NON"),IF(K444&lt;=6,"Oui","NON")))</f>
        <v/>
      </c>
      <c r="M444" s="4" t="n"/>
      <c r="N444" s="4" t="n"/>
      <c r="O444" s="4" t="n"/>
      <c r="P444" s="4" t="n"/>
    </row>
    <row r="445">
      <c r="A445" s="4" t="n"/>
      <c r="B445" s="4" t="n"/>
      <c r="C445" s="6" t="n"/>
      <c r="D445" s="4" t="n"/>
      <c r="E445" s="4" t="n"/>
      <c r="F445" s="4" t="n"/>
      <c r="G445" s="6" t="n"/>
      <c r="H445" s="6" t="n"/>
      <c r="I445" s="6" t="n"/>
      <c r="J445" s="6" t="n"/>
      <c r="K445">
        <f>IF(OR(C445="",J445=""),"",NETWORKDAYS(C445,J445,Fériés!$A$2:$A$40)-1)</f>
        <v/>
      </c>
      <c r="L445">
        <f>IF(J445="","",IF(H445&lt;&gt;"",IF(J445&lt;=H445,"Oui","NON"),IF(K445&lt;=6,"Oui","NON")))</f>
        <v/>
      </c>
      <c r="M445" s="4" t="n"/>
      <c r="N445" s="4" t="n"/>
      <c r="O445" s="4" t="n"/>
      <c r="P445" s="4" t="n"/>
    </row>
    <row r="446">
      <c r="A446" s="4" t="n"/>
      <c r="B446" s="4" t="n"/>
      <c r="C446" s="6" t="n"/>
      <c r="D446" s="4" t="n"/>
      <c r="E446" s="4" t="n"/>
      <c r="F446" s="4" t="n"/>
      <c r="G446" s="6" t="n"/>
      <c r="H446" s="6" t="n"/>
      <c r="I446" s="6" t="n"/>
      <c r="J446" s="6" t="n"/>
      <c r="K446">
        <f>IF(OR(C446="",J446=""),"",NETWORKDAYS(C446,J446,Fériés!$A$2:$A$40)-1)</f>
        <v/>
      </c>
      <c r="L446">
        <f>IF(J446="","",IF(H446&lt;&gt;"",IF(J446&lt;=H446,"Oui","NON"),IF(K446&lt;=6,"Oui","NON")))</f>
        <v/>
      </c>
      <c r="M446" s="4" t="n"/>
      <c r="N446" s="4" t="n"/>
      <c r="O446" s="4" t="n"/>
      <c r="P446" s="4" t="n"/>
    </row>
    <row r="447">
      <c r="A447" s="4" t="n"/>
      <c r="B447" s="4" t="n"/>
      <c r="C447" s="6" t="n"/>
      <c r="D447" s="4" t="n"/>
      <c r="E447" s="4" t="n"/>
      <c r="F447" s="4" t="n"/>
      <c r="G447" s="6" t="n"/>
      <c r="H447" s="6" t="n"/>
      <c r="I447" s="6" t="n"/>
      <c r="J447" s="6" t="n"/>
      <c r="K447">
        <f>IF(OR(C447="",J447=""),"",NETWORKDAYS(C447,J447,Fériés!$A$2:$A$40)-1)</f>
        <v/>
      </c>
      <c r="L447">
        <f>IF(J447="","",IF(H447&lt;&gt;"",IF(J447&lt;=H447,"Oui","NON"),IF(K447&lt;=6,"Oui","NON")))</f>
        <v/>
      </c>
      <c r="M447" s="4" t="n"/>
      <c r="N447" s="4" t="n"/>
      <c r="O447" s="4" t="n"/>
      <c r="P447" s="4" t="n"/>
    </row>
    <row r="448">
      <c r="A448" s="4" t="n"/>
      <c r="B448" s="4" t="n"/>
      <c r="C448" s="6" t="n"/>
      <c r="D448" s="4" t="n"/>
      <c r="E448" s="4" t="n"/>
      <c r="F448" s="4" t="n"/>
      <c r="G448" s="6" t="n"/>
      <c r="H448" s="6" t="n"/>
      <c r="I448" s="6" t="n"/>
      <c r="J448" s="6" t="n"/>
      <c r="K448">
        <f>IF(OR(C448="",J448=""),"",NETWORKDAYS(C448,J448,Fériés!$A$2:$A$40)-1)</f>
        <v/>
      </c>
      <c r="L448">
        <f>IF(J448="","",IF(H448&lt;&gt;"",IF(J448&lt;=H448,"Oui","NON"),IF(K448&lt;=6,"Oui","NON")))</f>
        <v/>
      </c>
      <c r="M448" s="4" t="n"/>
      <c r="N448" s="4" t="n"/>
      <c r="O448" s="4" t="n"/>
      <c r="P448" s="4" t="n"/>
    </row>
    <row r="449">
      <c r="A449" s="4" t="n"/>
      <c r="B449" s="4" t="n"/>
      <c r="C449" s="6" t="n"/>
      <c r="D449" s="4" t="n"/>
      <c r="E449" s="4" t="n"/>
      <c r="F449" s="4" t="n"/>
      <c r="G449" s="6" t="n"/>
      <c r="H449" s="6" t="n"/>
      <c r="I449" s="6" t="n"/>
      <c r="J449" s="6" t="n"/>
      <c r="K449">
        <f>IF(OR(C449="",J449=""),"",NETWORKDAYS(C449,J449,Fériés!$A$2:$A$40)-1)</f>
        <v/>
      </c>
      <c r="L449">
        <f>IF(J449="","",IF(H449&lt;&gt;"",IF(J449&lt;=H449,"Oui","NON"),IF(K449&lt;=6,"Oui","NON")))</f>
        <v/>
      </c>
      <c r="M449" s="4" t="n"/>
      <c r="N449" s="4" t="n"/>
      <c r="O449" s="4" t="n"/>
      <c r="P449" s="4" t="n"/>
    </row>
    <row r="450">
      <c r="A450" s="4" t="n"/>
      <c r="B450" s="4" t="n"/>
      <c r="C450" s="6" t="n"/>
      <c r="D450" s="4" t="n"/>
      <c r="E450" s="4" t="n"/>
      <c r="F450" s="4" t="n"/>
      <c r="G450" s="6" t="n"/>
      <c r="H450" s="6" t="n"/>
      <c r="I450" s="6" t="n"/>
      <c r="J450" s="6" t="n"/>
      <c r="K450">
        <f>IF(OR(C450="",J450=""),"",NETWORKDAYS(C450,J450,Fériés!$A$2:$A$40)-1)</f>
        <v/>
      </c>
      <c r="L450">
        <f>IF(J450="","",IF(H450&lt;&gt;"",IF(J450&lt;=H450,"Oui","NON"),IF(K450&lt;=6,"Oui","NON")))</f>
        <v/>
      </c>
      <c r="M450" s="4" t="n"/>
      <c r="N450" s="4" t="n"/>
      <c r="O450" s="4" t="n"/>
      <c r="P450" s="4" t="n"/>
    </row>
    <row r="451">
      <c r="A451" s="4" t="n"/>
      <c r="B451" s="4" t="n"/>
      <c r="C451" s="6" t="n"/>
      <c r="D451" s="4" t="n"/>
      <c r="E451" s="4" t="n"/>
      <c r="F451" s="4" t="n"/>
      <c r="G451" s="6" t="n"/>
      <c r="H451" s="6" t="n"/>
      <c r="I451" s="6" t="n"/>
      <c r="J451" s="6" t="n"/>
      <c r="K451">
        <f>IF(OR(C451="",J451=""),"",NETWORKDAYS(C451,J451,Fériés!$A$2:$A$40)-1)</f>
        <v/>
      </c>
      <c r="L451">
        <f>IF(J451="","",IF(H451&lt;&gt;"",IF(J451&lt;=H451,"Oui","NON"),IF(K451&lt;=6,"Oui","NON")))</f>
        <v/>
      </c>
      <c r="M451" s="4" t="n"/>
      <c r="N451" s="4" t="n"/>
      <c r="O451" s="4" t="n"/>
      <c r="P451" s="4" t="n"/>
    </row>
    <row r="452">
      <c r="A452" s="4" t="n"/>
      <c r="B452" s="4" t="n"/>
      <c r="C452" s="6" t="n"/>
      <c r="D452" s="4" t="n"/>
      <c r="E452" s="4" t="n"/>
      <c r="F452" s="4" t="n"/>
      <c r="G452" s="6" t="n"/>
      <c r="H452" s="6" t="n"/>
      <c r="I452" s="6" t="n"/>
      <c r="J452" s="6" t="n"/>
      <c r="K452">
        <f>IF(OR(C452="",J452=""),"",NETWORKDAYS(C452,J452,Fériés!$A$2:$A$40)-1)</f>
        <v/>
      </c>
      <c r="L452">
        <f>IF(J452="","",IF(H452&lt;&gt;"",IF(J452&lt;=H452,"Oui","NON"),IF(K452&lt;=6,"Oui","NON")))</f>
        <v/>
      </c>
      <c r="M452" s="4" t="n"/>
      <c r="N452" s="4" t="n"/>
      <c r="O452" s="4" t="n"/>
      <c r="P452" s="4" t="n"/>
    </row>
    <row r="453">
      <c r="A453" s="4" t="n"/>
      <c r="B453" s="4" t="n"/>
      <c r="C453" s="6" t="n"/>
      <c r="D453" s="4" t="n"/>
      <c r="E453" s="4" t="n"/>
      <c r="F453" s="4" t="n"/>
      <c r="G453" s="6" t="n"/>
      <c r="H453" s="6" t="n"/>
      <c r="I453" s="6" t="n"/>
      <c r="J453" s="6" t="n"/>
      <c r="K453">
        <f>IF(OR(C453="",J453=""),"",NETWORKDAYS(C453,J453,Fériés!$A$2:$A$40)-1)</f>
        <v/>
      </c>
      <c r="L453">
        <f>IF(J453="","",IF(H453&lt;&gt;"",IF(J453&lt;=H453,"Oui","NON"),IF(K453&lt;=6,"Oui","NON")))</f>
        <v/>
      </c>
      <c r="M453" s="4" t="n"/>
      <c r="N453" s="4" t="n"/>
      <c r="O453" s="4" t="n"/>
      <c r="P453" s="4" t="n"/>
    </row>
    <row r="454">
      <c r="A454" s="4" t="n"/>
      <c r="B454" s="4" t="n"/>
      <c r="C454" s="6" t="n"/>
      <c r="D454" s="4" t="n"/>
      <c r="E454" s="4" t="n"/>
      <c r="F454" s="4" t="n"/>
      <c r="G454" s="6" t="n"/>
      <c r="H454" s="6" t="n"/>
      <c r="I454" s="6" t="n"/>
      <c r="J454" s="6" t="n"/>
      <c r="K454">
        <f>IF(OR(C454="",J454=""),"",NETWORKDAYS(C454,J454,Fériés!$A$2:$A$40)-1)</f>
        <v/>
      </c>
      <c r="L454">
        <f>IF(J454="","",IF(H454&lt;&gt;"",IF(J454&lt;=H454,"Oui","NON"),IF(K454&lt;=6,"Oui","NON")))</f>
        <v/>
      </c>
      <c r="M454" s="4" t="n"/>
      <c r="N454" s="4" t="n"/>
      <c r="O454" s="4" t="n"/>
      <c r="P454" s="4" t="n"/>
    </row>
    <row r="455">
      <c r="A455" s="4" t="n"/>
      <c r="B455" s="4" t="n"/>
      <c r="C455" s="6" t="n"/>
      <c r="D455" s="4" t="n"/>
      <c r="E455" s="4" t="n"/>
      <c r="F455" s="4" t="n"/>
      <c r="G455" s="6" t="n"/>
      <c r="H455" s="6" t="n"/>
      <c r="I455" s="6" t="n"/>
      <c r="J455" s="6" t="n"/>
      <c r="K455">
        <f>IF(OR(C455="",J455=""),"",NETWORKDAYS(C455,J455,Fériés!$A$2:$A$40)-1)</f>
        <v/>
      </c>
      <c r="L455">
        <f>IF(J455="","",IF(H455&lt;&gt;"",IF(J455&lt;=H455,"Oui","NON"),IF(K455&lt;=6,"Oui","NON")))</f>
        <v/>
      </c>
      <c r="M455" s="4" t="n"/>
      <c r="N455" s="4" t="n"/>
      <c r="O455" s="4" t="n"/>
      <c r="P455" s="4" t="n"/>
    </row>
    <row r="456">
      <c r="A456" s="4" t="n"/>
      <c r="B456" s="4" t="n"/>
      <c r="C456" s="6" t="n"/>
      <c r="D456" s="4" t="n"/>
      <c r="E456" s="4" t="n"/>
      <c r="F456" s="4" t="n"/>
      <c r="G456" s="6" t="n"/>
      <c r="H456" s="6" t="n"/>
      <c r="I456" s="6" t="n"/>
      <c r="J456" s="6" t="n"/>
      <c r="K456">
        <f>IF(OR(C456="",J456=""),"",NETWORKDAYS(C456,J456,Fériés!$A$2:$A$40)-1)</f>
        <v/>
      </c>
      <c r="L456">
        <f>IF(J456="","",IF(H456&lt;&gt;"",IF(J456&lt;=H456,"Oui","NON"),IF(K456&lt;=6,"Oui","NON")))</f>
        <v/>
      </c>
      <c r="M456" s="4" t="n"/>
      <c r="N456" s="4" t="n"/>
      <c r="O456" s="4" t="n"/>
      <c r="P456" s="4" t="n"/>
    </row>
    <row r="457">
      <c r="A457" s="4" t="n"/>
      <c r="B457" s="4" t="n"/>
      <c r="C457" s="6" t="n"/>
      <c r="D457" s="4" t="n"/>
      <c r="E457" s="4" t="n"/>
      <c r="F457" s="4" t="n"/>
      <c r="G457" s="6" t="n"/>
      <c r="H457" s="6" t="n"/>
      <c r="I457" s="6" t="n"/>
      <c r="J457" s="6" t="n"/>
      <c r="K457">
        <f>IF(OR(C457="",J457=""),"",NETWORKDAYS(C457,J457,Fériés!$A$2:$A$40)-1)</f>
        <v/>
      </c>
      <c r="L457">
        <f>IF(J457="","",IF(H457&lt;&gt;"",IF(J457&lt;=H457,"Oui","NON"),IF(K457&lt;=6,"Oui","NON")))</f>
        <v/>
      </c>
      <c r="M457" s="4" t="n"/>
      <c r="N457" s="4" t="n"/>
      <c r="O457" s="4" t="n"/>
      <c r="P457" s="4" t="n"/>
    </row>
    <row r="458">
      <c r="A458" s="4" t="n"/>
      <c r="B458" s="4" t="n"/>
      <c r="C458" s="6" t="n"/>
      <c r="D458" s="4" t="n"/>
      <c r="E458" s="4" t="n"/>
      <c r="F458" s="4" t="n"/>
      <c r="G458" s="6" t="n"/>
      <c r="H458" s="6" t="n"/>
      <c r="I458" s="6" t="n"/>
      <c r="J458" s="6" t="n"/>
      <c r="K458">
        <f>IF(OR(C458="",J458=""),"",NETWORKDAYS(C458,J458,Fériés!$A$2:$A$40)-1)</f>
        <v/>
      </c>
      <c r="L458">
        <f>IF(J458="","",IF(H458&lt;&gt;"",IF(J458&lt;=H458,"Oui","NON"),IF(K458&lt;=6,"Oui","NON")))</f>
        <v/>
      </c>
      <c r="M458" s="4" t="n"/>
      <c r="N458" s="4" t="n"/>
      <c r="O458" s="4" t="n"/>
      <c r="P458" s="4" t="n"/>
    </row>
    <row r="459">
      <c r="A459" s="4" t="n"/>
      <c r="B459" s="4" t="n"/>
      <c r="C459" s="6" t="n"/>
      <c r="D459" s="4" t="n"/>
      <c r="E459" s="4" t="n"/>
      <c r="F459" s="4" t="n"/>
      <c r="G459" s="6" t="n"/>
      <c r="H459" s="6" t="n"/>
      <c r="I459" s="6" t="n"/>
      <c r="J459" s="6" t="n"/>
      <c r="K459">
        <f>IF(OR(C459="",J459=""),"",NETWORKDAYS(C459,J459,Fériés!$A$2:$A$40)-1)</f>
        <v/>
      </c>
      <c r="L459">
        <f>IF(J459="","",IF(H459&lt;&gt;"",IF(J459&lt;=H459,"Oui","NON"),IF(K459&lt;=6,"Oui","NON")))</f>
        <v/>
      </c>
      <c r="M459" s="4" t="n"/>
      <c r="N459" s="4" t="n"/>
      <c r="O459" s="4" t="n"/>
      <c r="P459" s="4" t="n"/>
    </row>
    <row r="460">
      <c r="A460" s="4" t="n"/>
      <c r="B460" s="4" t="n"/>
      <c r="C460" s="6" t="n"/>
      <c r="D460" s="4" t="n"/>
      <c r="E460" s="4" t="n"/>
      <c r="F460" s="4" t="n"/>
      <c r="G460" s="6" t="n"/>
      <c r="H460" s="6" t="n"/>
      <c r="I460" s="6" t="n"/>
      <c r="J460" s="6" t="n"/>
      <c r="K460">
        <f>IF(OR(C460="",J460=""),"",NETWORKDAYS(C460,J460,Fériés!$A$2:$A$40)-1)</f>
        <v/>
      </c>
      <c r="L460">
        <f>IF(J460="","",IF(H460&lt;&gt;"",IF(J460&lt;=H460,"Oui","NON"),IF(K460&lt;=6,"Oui","NON")))</f>
        <v/>
      </c>
      <c r="M460" s="4" t="n"/>
      <c r="N460" s="4" t="n"/>
      <c r="O460" s="4" t="n"/>
      <c r="P460" s="4" t="n"/>
    </row>
    <row r="461">
      <c r="A461" s="4" t="n"/>
      <c r="B461" s="4" t="n"/>
      <c r="C461" s="6" t="n"/>
      <c r="D461" s="4" t="n"/>
      <c r="E461" s="4" t="n"/>
      <c r="F461" s="4" t="n"/>
      <c r="G461" s="6" t="n"/>
      <c r="H461" s="6" t="n"/>
      <c r="I461" s="6" t="n"/>
      <c r="J461" s="6" t="n"/>
      <c r="K461">
        <f>IF(OR(C461="",J461=""),"",NETWORKDAYS(C461,J461,Fériés!$A$2:$A$40)-1)</f>
        <v/>
      </c>
      <c r="L461">
        <f>IF(J461="","",IF(H461&lt;&gt;"",IF(J461&lt;=H461,"Oui","NON"),IF(K461&lt;=6,"Oui","NON")))</f>
        <v/>
      </c>
      <c r="M461" s="4" t="n"/>
      <c r="N461" s="4" t="n"/>
      <c r="O461" s="4" t="n"/>
      <c r="P461" s="4" t="n"/>
    </row>
    <row r="462">
      <c r="A462" s="4" t="n"/>
      <c r="B462" s="4" t="n"/>
      <c r="C462" s="6" t="n"/>
      <c r="D462" s="4" t="n"/>
      <c r="E462" s="4" t="n"/>
      <c r="F462" s="4" t="n"/>
      <c r="G462" s="6" t="n"/>
      <c r="H462" s="6" t="n"/>
      <c r="I462" s="6" t="n"/>
      <c r="J462" s="6" t="n"/>
      <c r="K462">
        <f>IF(OR(C462="",J462=""),"",NETWORKDAYS(C462,J462,Fériés!$A$2:$A$40)-1)</f>
        <v/>
      </c>
      <c r="L462">
        <f>IF(J462="","",IF(H462&lt;&gt;"",IF(J462&lt;=H462,"Oui","NON"),IF(K462&lt;=6,"Oui","NON")))</f>
        <v/>
      </c>
      <c r="M462" s="4" t="n"/>
      <c r="N462" s="4" t="n"/>
      <c r="O462" s="4" t="n"/>
      <c r="P462" s="4" t="n"/>
    </row>
    <row r="463">
      <c r="A463" s="4" t="n"/>
      <c r="B463" s="4" t="n"/>
      <c r="C463" s="6" t="n"/>
      <c r="D463" s="4" t="n"/>
      <c r="E463" s="4" t="n"/>
      <c r="F463" s="4" t="n"/>
      <c r="G463" s="6" t="n"/>
      <c r="H463" s="6" t="n"/>
      <c r="I463" s="6" t="n"/>
      <c r="J463" s="6" t="n"/>
      <c r="K463">
        <f>IF(OR(C463="",J463=""),"",NETWORKDAYS(C463,J463,Fériés!$A$2:$A$40)-1)</f>
        <v/>
      </c>
      <c r="L463">
        <f>IF(J463="","",IF(H463&lt;&gt;"",IF(J463&lt;=H463,"Oui","NON"),IF(K463&lt;=6,"Oui","NON")))</f>
        <v/>
      </c>
      <c r="M463" s="4" t="n"/>
      <c r="N463" s="4" t="n"/>
      <c r="O463" s="4" t="n"/>
      <c r="P463" s="4" t="n"/>
    </row>
    <row r="464">
      <c r="A464" s="4" t="n"/>
      <c r="B464" s="4" t="n"/>
      <c r="C464" s="6" t="n"/>
      <c r="D464" s="4" t="n"/>
      <c r="E464" s="4" t="n"/>
      <c r="F464" s="4" t="n"/>
      <c r="G464" s="6" t="n"/>
      <c r="H464" s="6" t="n"/>
      <c r="I464" s="6" t="n"/>
      <c r="J464" s="6" t="n"/>
      <c r="K464">
        <f>IF(OR(C464="",J464=""),"",NETWORKDAYS(C464,J464,Fériés!$A$2:$A$40)-1)</f>
        <v/>
      </c>
      <c r="L464">
        <f>IF(J464="","",IF(H464&lt;&gt;"",IF(J464&lt;=H464,"Oui","NON"),IF(K464&lt;=6,"Oui","NON")))</f>
        <v/>
      </c>
      <c r="M464" s="4" t="n"/>
      <c r="N464" s="4" t="n"/>
      <c r="O464" s="4" t="n"/>
      <c r="P464" s="4" t="n"/>
    </row>
    <row r="465">
      <c r="A465" s="4" t="n"/>
      <c r="B465" s="4" t="n"/>
      <c r="C465" s="6" t="n"/>
      <c r="D465" s="4" t="n"/>
      <c r="E465" s="4" t="n"/>
      <c r="F465" s="4" t="n"/>
      <c r="G465" s="6" t="n"/>
      <c r="H465" s="6" t="n"/>
      <c r="I465" s="6" t="n"/>
      <c r="J465" s="6" t="n"/>
      <c r="K465">
        <f>IF(OR(C465="",J465=""),"",NETWORKDAYS(C465,J465,Fériés!$A$2:$A$40)-1)</f>
        <v/>
      </c>
      <c r="L465">
        <f>IF(J465="","",IF(H465&lt;&gt;"",IF(J465&lt;=H465,"Oui","NON"),IF(K465&lt;=6,"Oui","NON")))</f>
        <v/>
      </c>
      <c r="M465" s="4" t="n"/>
      <c r="N465" s="4" t="n"/>
      <c r="O465" s="4" t="n"/>
      <c r="P465" s="4" t="n"/>
    </row>
    <row r="466">
      <c r="A466" s="4" t="n"/>
      <c r="B466" s="4" t="n"/>
      <c r="C466" s="6" t="n"/>
      <c r="D466" s="4" t="n"/>
      <c r="E466" s="4" t="n"/>
      <c r="F466" s="4" t="n"/>
      <c r="G466" s="6" t="n"/>
      <c r="H466" s="6" t="n"/>
      <c r="I466" s="6" t="n"/>
      <c r="J466" s="6" t="n"/>
      <c r="K466">
        <f>IF(OR(C466="",J466=""),"",NETWORKDAYS(C466,J466,Fériés!$A$2:$A$40)-1)</f>
        <v/>
      </c>
      <c r="L466">
        <f>IF(J466="","",IF(H466&lt;&gt;"",IF(J466&lt;=H466,"Oui","NON"),IF(K466&lt;=6,"Oui","NON")))</f>
        <v/>
      </c>
      <c r="M466" s="4" t="n"/>
      <c r="N466" s="4" t="n"/>
      <c r="O466" s="4" t="n"/>
      <c r="P466" s="4" t="n"/>
    </row>
    <row r="467">
      <c r="A467" s="4" t="n"/>
      <c r="B467" s="4" t="n"/>
      <c r="C467" s="6" t="n"/>
      <c r="D467" s="4" t="n"/>
      <c r="E467" s="4" t="n"/>
      <c r="F467" s="4" t="n"/>
      <c r="G467" s="6" t="n"/>
      <c r="H467" s="6" t="n"/>
      <c r="I467" s="6" t="n"/>
      <c r="J467" s="6" t="n"/>
      <c r="K467">
        <f>IF(OR(C467="",J467=""),"",NETWORKDAYS(C467,J467,Fériés!$A$2:$A$40)-1)</f>
        <v/>
      </c>
      <c r="L467">
        <f>IF(J467="","",IF(H467&lt;&gt;"",IF(J467&lt;=H467,"Oui","NON"),IF(K467&lt;=6,"Oui","NON")))</f>
        <v/>
      </c>
      <c r="M467" s="4" t="n"/>
      <c r="N467" s="4" t="n"/>
      <c r="O467" s="4" t="n"/>
      <c r="P467" s="4" t="n"/>
    </row>
    <row r="468">
      <c r="A468" s="4" t="n"/>
      <c r="B468" s="4" t="n"/>
      <c r="C468" s="6" t="n"/>
      <c r="D468" s="4" t="n"/>
      <c r="E468" s="4" t="n"/>
      <c r="F468" s="4" t="n"/>
      <c r="G468" s="6" t="n"/>
      <c r="H468" s="6" t="n"/>
      <c r="I468" s="6" t="n"/>
      <c r="J468" s="6" t="n"/>
      <c r="K468">
        <f>IF(OR(C468="",J468=""),"",NETWORKDAYS(C468,J468,Fériés!$A$2:$A$40)-1)</f>
        <v/>
      </c>
      <c r="L468">
        <f>IF(J468="","",IF(H468&lt;&gt;"",IF(J468&lt;=H468,"Oui","NON"),IF(K468&lt;=6,"Oui","NON")))</f>
        <v/>
      </c>
      <c r="M468" s="4" t="n"/>
      <c r="N468" s="4" t="n"/>
      <c r="O468" s="4" t="n"/>
      <c r="P468" s="4" t="n"/>
    </row>
    <row r="469">
      <c r="A469" s="4" t="n"/>
      <c r="B469" s="4" t="n"/>
      <c r="C469" s="6" t="n"/>
      <c r="D469" s="4" t="n"/>
      <c r="E469" s="4" t="n"/>
      <c r="F469" s="4" t="n"/>
      <c r="G469" s="6" t="n"/>
      <c r="H469" s="6" t="n"/>
      <c r="I469" s="6" t="n"/>
      <c r="J469" s="6" t="n"/>
      <c r="K469">
        <f>IF(OR(C469="",J469=""),"",NETWORKDAYS(C469,J469,Fériés!$A$2:$A$40)-1)</f>
        <v/>
      </c>
      <c r="L469">
        <f>IF(J469="","",IF(H469&lt;&gt;"",IF(J469&lt;=H469,"Oui","NON"),IF(K469&lt;=6,"Oui","NON")))</f>
        <v/>
      </c>
      <c r="M469" s="4" t="n"/>
      <c r="N469" s="4" t="n"/>
      <c r="O469" s="4" t="n"/>
      <c r="P469" s="4" t="n"/>
    </row>
    <row r="470">
      <c r="A470" s="4" t="n"/>
      <c r="B470" s="4" t="n"/>
      <c r="C470" s="6" t="n"/>
      <c r="D470" s="4" t="n"/>
      <c r="E470" s="4" t="n"/>
      <c r="F470" s="4" t="n"/>
      <c r="G470" s="6" t="n"/>
      <c r="H470" s="6" t="n"/>
      <c r="I470" s="6" t="n"/>
      <c r="J470" s="6" t="n"/>
      <c r="K470">
        <f>IF(OR(C470="",J470=""),"",NETWORKDAYS(C470,J470,Fériés!$A$2:$A$40)-1)</f>
        <v/>
      </c>
      <c r="L470">
        <f>IF(J470="","",IF(H470&lt;&gt;"",IF(J470&lt;=H470,"Oui","NON"),IF(K470&lt;=6,"Oui","NON")))</f>
        <v/>
      </c>
      <c r="M470" s="4" t="n"/>
      <c r="N470" s="4" t="n"/>
      <c r="O470" s="4" t="n"/>
      <c r="P470" s="4" t="n"/>
    </row>
    <row r="471">
      <c r="A471" s="4" t="n"/>
      <c r="B471" s="4" t="n"/>
      <c r="C471" s="6" t="n"/>
      <c r="D471" s="4" t="n"/>
      <c r="E471" s="4" t="n"/>
      <c r="F471" s="4" t="n"/>
      <c r="G471" s="6" t="n"/>
      <c r="H471" s="6" t="n"/>
      <c r="I471" s="6" t="n"/>
      <c r="J471" s="6" t="n"/>
      <c r="K471">
        <f>IF(OR(C471="",J471=""),"",NETWORKDAYS(C471,J471,Fériés!$A$2:$A$40)-1)</f>
        <v/>
      </c>
      <c r="L471">
        <f>IF(J471="","",IF(H471&lt;&gt;"",IF(J471&lt;=H471,"Oui","NON"),IF(K471&lt;=6,"Oui","NON")))</f>
        <v/>
      </c>
      <c r="M471" s="4" t="n"/>
      <c r="N471" s="4" t="n"/>
      <c r="O471" s="4" t="n"/>
      <c r="P471" s="4" t="n"/>
    </row>
    <row r="472">
      <c r="A472" s="4" t="n"/>
      <c r="B472" s="4" t="n"/>
      <c r="C472" s="6" t="n"/>
      <c r="D472" s="4" t="n"/>
      <c r="E472" s="4" t="n"/>
      <c r="F472" s="4" t="n"/>
      <c r="G472" s="6" t="n"/>
      <c r="H472" s="6" t="n"/>
      <c r="I472" s="6" t="n"/>
      <c r="J472" s="6" t="n"/>
      <c r="K472">
        <f>IF(OR(C472="",J472=""),"",NETWORKDAYS(C472,J472,Fériés!$A$2:$A$40)-1)</f>
        <v/>
      </c>
      <c r="L472">
        <f>IF(J472="","",IF(H472&lt;&gt;"",IF(J472&lt;=H472,"Oui","NON"),IF(K472&lt;=6,"Oui","NON")))</f>
        <v/>
      </c>
      <c r="M472" s="4" t="n"/>
      <c r="N472" s="4" t="n"/>
      <c r="O472" s="4" t="n"/>
      <c r="P472" s="4" t="n"/>
    </row>
    <row r="473">
      <c r="A473" s="4" t="n"/>
      <c r="B473" s="4" t="n"/>
      <c r="C473" s="6" t="n"/>
      <c r="D473" s="4" t="n"/>
      <c r="E473" s="4" t="n"/>
      <c r="F473" s="4" t="n"/>
      <c r="G473" s="6" t="n"/>
      <c r="H473" s="6" t="n"/>
      <c r="I473" s="6" t="n"/>
      <c r="J473" s="6" t="n"/>
      <c r="K473">
        <f>IF(OR(C473="",J473=""),"",NETWORKDAYS(C473,J473,Fériés!$A$2:$A$40)-1)</f>
        <v/>
      </c>
      <c r="L473">
        <f>IF(J473="","",IF(H473&lt;&gt;"",IF(J473&lt;=H473,"Oui","NON"),IF(K473&lt;=6,"Oui","NON")))</f>
        <v/>
      </c>
      <c r="M473" s="4" t="n"/>
      <c r="N473" s="4" t="n"/>
      <c r="O473" s="4" t="n"/>
      <c r="P473" s="4" t="n"/>
    </row>
    <row r="474">
      <c r="A474" s="4" t="n"/>
      <c r="B474" s="4" t="n"/>
      <c r="C474" s="6" t="n"/>
      <c r="D474" s="4" t="n"/>
      <c r="E474" s="4" t="n"/>
      <c r="F474" s="4" t="n"/>
      <c r="G474" s="6" t="n"/>
      <c r="H474" s="6" t="n"/>
      <c r="I474" s="6" t="n"/>
      <c r="J474" s="6" t="n"/>
      <c r="K474">
        <f>IF(OR(C474="",J474=""),"",NETWORKDAYS(C474,J474,Fériés!$A$2:$A$40)-1)</f>
        <v/>
      </c>
      <c r="L474">
        <f>IF(J474="","",IF(H474&lt;&gt;"",IF(J474&lt;=H474,"Oui","NON"),IF(K474&lt;=6,"Oui","NON")))</f>
        <v/>
      </c>
      <c r="M474" s="4" t="n"/>
      <c r="N474" s="4" t="n"/>
      <c r="O474" s="4" t="n"/>
      <c r="P474" s="4" t="n"/>
    </row>
    <row r="475">
      <c r="A475" s="4" t="n"/>
      <c r="B475" s="4" t="n"/>
      <c r="C475" s="6" t="n"/>
      <c r="D475" s="4" t="n"/>
      <c r="E475" s="4" t="n"/>
      <c r="F475" s="4" t="n"/>
      <c r="G475" s="6" t="n"/>
      <c r="H475" s="6" t="n"/>
      <c r="I475" s="6" t="n"/>
      <c r="J475" s="6" t="n"/>
      <c r="K475">
        <f>IF(OR(C475="",J475=""),"",NETWORKDAYS(C475,J475,Fériés!$A$2:$A$40)-1)</f>
        <v/>
      </c>
      <c r="L475">
        <f>IF(J475="","",IF(H475&lt;&gt;"",IF(J475&lt;=H475,"Oui","NON"),IF(K475&lt;=6,"Oui","NON")))</f>
        <v/>
      </c>
      <c r="M475" s="4" t="n"/>
      <c r="N475" s="4" t="n"/>
      <c r="O475" s="4" t="n"/>
      <c r="P475" s="4" t="n"/>
    </row>
    <row r="476">
      <c r="A476" s="4" t="n"/>
      <c r="B476" s="4" t="n"/>
      <c r="C476" s="6" t="n"/>
      <c r="D476" s="4" t="n"/>
      <c r="E476" s="4" t="n"/>
      <c r="F476" s="4" t="n"/>
      <c r="G476" s="6" t="n"/>
      <c r="H476" s="6" t="n"/>
      <c r="I476" s="6" t="n"/>
      <c r="J476" s="6" t="n"/>
      <c r="K476">
        <f>IF(OR(C476="",J476=""),"",NETWORKDAYS(C476,J476,Fériés!$A$2:$A$40)-1)</f>
        <v/>
      </c>
      <c r="L476">
        <f>IF(J476="","",IF(H476&lt;&gt;"",IF(J476&lt;=H476,"Oui","NON"),IF(K476&lt;=6,"Oui","NON")))</f>
        <v/>
      </c>
      <c r="M476" s="4" t="n"/>
      <c r="N476" s="4" t="n"/>
      <c r="O476" s="4" t="n"/>
      <c r="P476" s="4" t="n"/>
    </row>
    <row r="477">
      <c r="A477" s="4" t="n"/>
      <c r="B477" s="4" t="n"/>
      <c r="C477" s="6" t="n"/>
      <c r="D477" s="4" t="n"/>
      <c r="E477" s="4" t="n"/>
      <c r="F477" s="4" t="n"/>
      <c r="G477" s="6" t="n"/>
      <c r="H477" s="6" t="n"/>
      <c r="I477" s="6" t="n"/>
      <c r="J477" s="6" t="n"/>
      <c r="K477">
        <f>IF(OR(C477="",J477=""),"",NETWORKDAYS(C477,J477,Fériés!$A$2:$A$40)-1)</f>
        <v/>
      </c>
      <c r="L477">
        <f>IF(J477="","",IF(H477&lt;&gt;"",IF(J477&lt;=H477,"Oui","NON"),IF(K477&lt;=6,"Oui","NON")))</f>
        <v/>
      </c>
      <c r="M477" s="4" t="n"/>
      <c r="N477" s="4" t="n"/>
      <c r="O477" s="4" t="n"/>
      <c r="P477" s="4" t="n"/>
    </row>
    <row r="478">
      <c r="A478" s="4" t="n"/>
      <c r="B478" s="4" t="n"/>
      <c r="C478" s="6" t="n"/>
      <c r="D478" s="4" t="n"/>
      <c r="E478" s="4" t="n"/>
      <c r="F478" s="4" t="n"/>
      <c r="G478" s="6" t="n"/>
      <c r="H478" s="6" t="n"/>
      <c r="I478" s="6" t="n"/>
      <c r="J478" s="6" t="n"/>
      <c r="K478">
        <f>IF(OR(C478="",J478=""),"",NETWORKDAYS(C478,J478,Fériés!$A$2:$A$40)-1)</f>
        <v/>
      </c>
      <c r="L478">
        <f>IF(J478="","",IF(H478&lt;&gt;"",IF(J478&lt;=H478,"Oui","NON"),IF(K478&lt;=6,"Oui","NON")))</f>
        <v/>
      </c>
      <c r="M478" s="4" t="n"/>
      <c r="N478" s="4" t="n"/>
      <c r="O478" s="4" t="n"/>
      <c r="P478" s="4" t="n"/>
    </row>
    <row r="479">
      <c r="A479" s="4" t="n"/>
      <c r="B479" s="4" t="n"/>
      <c r="C479" s="6" t="n"/>
      <c r="D479" s="4" t="n"/>
      <c r="E479" s="4" t="n"/>
      <c r="F479" s="4" t="n"/>
      <c r="G479" s="6" t="n"/>
      <c r="H479" s="6" t="n"/>
      <c r="I479" s="6" t="n"/>
      <c r="J479" s="6" t="n"/>
      <c r="K479">
        <f>IF(OR(C479="",J479=""),"",NETWORKDAYS(C479,J479,Fériés!$A$2:$A$40)-1)</f>
        <v/>
      </c>
      <c r="L479">
        <f>IF(J479="","",IF(H479&lt;&gt;"",IF(J479&lt;=H479,"Oui","NON"),IF(K479&lt;=6,"Oui","NON")))</f>
        <v/>
      </c>
      <c r="M479" s="4" t="n"/>
      <c r="N479" s="4" t="n"/>
      <c r="O479" s="4" t="n"/>
      <c r="P479" s="4" t="n"/>
    </row>
    <row r="480">
      <c r="A480" s="4" t="n"/>
      <c r="B480" s="4" t="n"/>
      <c r="C480" s="6" t="n"/>
      <c r="D480" s="4" t="n"/>
      <c r="E480" s="4" t="n"/>
      <c r="F480" s="4" t="n"/>
      <c r="G480" s="6" t="n"/>
      <c r="H480" s="6" t="n"/>
      <c r="I480" s="6" t="n"/>
      <c r="J480" s="6" t="n"/>
      <c r="K480">
        <f>IF(OR(C480="",J480=""),"",NETWORKDAYS(C480,J480,Fériés!$A$2:$A$40)-1)</f>
        <v/>
      </c>
      <c r="L480">
        <f>IF(J480="","",IF(H480&lt;&gt;"",IF(J480&lt;=H480,"Oui","NON"),IF(K480&lt;=6,"Oui","NON")))</f>
        <v/>
      </c>
      <c r="M480" s="4" t="n"/>
      <c r="N480" s="4" t="n"/>
      <c r="O480" s="4" t="n"/>
      <c r="P480" s="4" t="n"/>
    </row>
    <row r="481">
      <c r="A481" s="4" t="n"/>
      <c r="B481" s="4" t="n"/>
      <c r="C481" s="6" t="n"/>
      <c r="D481" s="4" t="n"/>
      <c r="E481" s="4" t="n"/>
      <c r="F481" s="4" t="n"/>
      <c r="G481" s="6" t="n"/>
      <c r="H481" s="6" t="n"/>
      <c r="I481" s="6" t="n"/>
      <c r="J481" s="6" t="n"/>
      <c r="K481">
        <f>IF(OR(C481="",J481=""),"",NETWORKDAYS(C481,J481,Fériés!$A$2:$A$40)-1)</f>
        <v/>
      </c>
      <c r="L481">
        <f>IF(J481="","",IF(H481&lt;&gt;"",IF(J481&lt;=H481,"Oui","NON"),IF(K481&lt;=6,"Oui","NON")))</f>
        <v/>
      </c>
      <c r="M481" s="4" t="n"/>
      <c r="N481" s="4" t="n"/>
      <c r="O481" s="4" t="n"/>
      <c r="P481" s="4" t="n"/>
    </row>
    <row r="482">
      <c r="A482" s="4" t="n"/>
      <c r="B482" s="4" t="n"/>
      <c r="C482" s="6" t="n"/>
      <c r="D482" s="4" t="n"/>
      <c r="E482" s="4" t="n"/>
      <c r="F482" s="4" t="n"/>
      <c r="G482" s="6" t="n"/>
      <c r="H482" s="6" t="n"/>
      <c r="I482" s="6" t="n"/>
      <c r="J482" s="6" t="n"/>
      <c r="K482">
        <f>IF(OR(C482="",J482=""),"",NETWORKDAYS(C482,J482,Fériés!$A$2:$A$40)-1)</f>
        <v/>
      </c>
      <c r="L482">
        <f>IF(J482="","",IF(H482&lt;&gt;"",IF(J482&lt;=H482,"Oui","NON"),IF(K482&lt;=6,"Oui","NON")))</f>
        <v/>
      </c>
      <c r="M482" s="4" t="n"/>
      <c r="N482" s="4" t="n"/>
      <c r="O482" s="4" t="n"/>
      <c r="P482" s="4" t="n"/>
    </row>
    <row r="483">
      <c r="A483" s="4" t="n"/>
      <c r="B483" s="4" t="n"/>
      <c r="C483" s="6" t="n"/>
      <c r="D483" s="4" t="n"/>
      <c r="E483" s="4" t="n"/>
      <c r="F483" s="4" t="n"/>
      <c r="G483" s="6" t="n"/>
      <c r="H483" s="6" t="n"/>
      <c r="I483" s="6" t="n"/>
      <c r="J483" s="6" t="n"/>
      <c r="K483">
        <f>IF(OR(C483="",J483=""),"",NETWORKDAYS(C483,J483,Fériés!$A$2:$A$40)-1)</f>
        <v/>
      </c>
      <c r="L483">
        <f>IF(J483="","",IF(H483&lt;&gt;"",IF(J483&lt;=H483,"Oui","NON"),IF(K483&lt;=6,"Oui","NON")))</f>
        <v/>
      </c>
      <c r="M483" s="4" t="n"/>
      <c r="N483" s="4" t="n"/>
      <c r="O483" s="4" t="n"/>
      <c r="P483" s="4" t="n"/>
    </row>
    <row r="484">
      <c r="A484" s="4" t="n"/>
      <c r="B484" s="4" t="n"/>
      <c r="C484" s="6" t="n"/>
      <c r="D484" s="4" t="n"/>
      <c r="E484" s="4" t="n"/>
      <c r="F484" s="4" t="n"/>
      <c r="G484" s="6" t="n"/>
      <c r="H484" s="6" t="n"/>
      <c r="I484" s="6" t="n"/>
      <c r="J484" s="6" t="n"/>
      <c r="K484">
        <f>IF(OR(C484="",J484=""),"",NETWORKDAYS(C484,J484,Fériés!$A$2:$A$40)-1)</f>
        <v/>
      </c>
      <c r="L484">
        <f>IF(J484="","",IF(H484&lt;&gt;"",IF(J484&lt;=H484,"Oui","NON"),IF(K484&lt;=6,"Oui","NON")))</f>
        <v/>
      </c>
      <c r="M484" s="4" t="n"/>
      <c r="N484" s="4" t="n"/>
      <c r="O484" s="4" t="n"/>
      <c r="P484" s="4" t="n"/>
    </row>
    <row r="485">
      <c r="A485" s="4" t="n"/>
      <c r="B485" s="4" t="n"/>
      <c r="C485" s="6" t="n"/>
      <c r="D485" s="4" t="n"/>
      <c r="E485" s="4" t="n"/>
      <c r="F485" s="4" t="n"/>
      <c r="G485" s="6" t="n"/>
      <c r="H485" s="6" t="n"/>
      <c r="I485" s="6" t="n"/>
      <c r="J485" s="6" t="n"/>
      <c r="K485">
        <f>IF(OR(C485="",J485=""),"",NETWORKDAYS(C485,J485,Fériés!$A$2:$A$40)-1)</f>
        <v/>
      </c>
      <c r="L485">
        <f>IF(J485="","",IF(H485&lt;&gt;"",IF(J485&lt;=H485,"Oui","NON"),IF(K485&lt;=6,"Oui","NON")))</f>
        <v/>
      </c>
      <c r="M485" s="4" t="n"/>
      <c r="N485" s="4" t="n"/>
      <c r="O485" s="4" t="n"/>
      <c r="P485" s="4" t="n"/>
    </row>
    <row r="486">
      <c r="A486" s="4" t="n"/>
      <c r="B486" s="4" t="n"/>
      <c r="C486" s="6" t="n"/>
      <c r="D486" s="4" t="n"/>
      <c r="E486" s="4" t="n"/>
      <c r="F486" s="4" t="n"/>
      <c r="G486" s="6" t="n"/>
      <c r="H486" s="6" t="n"/>
      <c r="I486" s="6" t="n"/>
      <c r="J486" s="6" t="n"/>
      <c r="K486">
        <f>IF(OR(C486="",J486=""),"",NETWORKDAYS(C486,J486,Fériés!$A$2:$A$40)-1)</f>
        <v/>
      </c>
      <c r="L486">
        <f>IF(J486="","",IF(H486&lt;&gt;"",IF(J486&lt;=H486,"Oui","NON"),IF(K486&lt;=6,"Oui","NON")))</f>
        <v/>
      </c>
      <c r="M486" s="4" t="n"/>
      <c r="N486" s="4" t="n"/>
      <c r="O486" s="4" t="n"/>
      <c r="P486" s="4" t="n"/>
    </row>
    <row r="487">
      <c r="A487" s="4" t="n"/>
      <c r="B487" s="4" t="n"/>
      <c r="C487" s="6" t="n"/>
      <c r="D487" s="4" t="n"/>
      <c r="E487" s="4" t="n"/>
      <c r="F487" s="4" t="n"/>
      <c r="G487" s="6" t="n"/>
      <c r="H487" s="6" t="n"/>
      <c r="I487" s="6" t="n"/>
      <c r="J487" s="6" t="n"/>
      <c r="K487">
        <f>IF(OR(C487="",J487=""),"",NETWORKDAYS(C487,J487,Fériés!$A$2:$A$40)-1)</f>
        <v/>
      </c>
      <c r="L487">
        <f>IF(J487="","",IF(H487&lt;&gt;"",IF(J487&lt;=H487,"Oui","NON"),IF(K487&lt;=6,"Oui","NON")))</f>
        <v/>
      </c>
      <c r="M487" s="4" t="n"/>
      <c r="N487" s="4" t="n"/>
      <c r="O487" s="4" t="n"/>
      <c r="P487" s="4" t="n"/>
    </row>
    <row r="488">
      <c r="A488" s="4" t="n"/>
      <c r="B488" s="4" t="n"/>
      <c r="C488" s="6" t="n"/>
      <c r="D488" s="4" t="n"/>
      <c r="E488" s="4" t="n"/>
      <c r="F488" s="4" t="n"/>
      <c r="G488" s="6" t="n"/>
      <c r="H488" s="6" t="n"/>
      <c r="I488" s="6" t="n"/>
      <c r="J488" s="6" t="n"/>
      <c r="K488">
        <f>IF(OR(C488="",J488=""),"",NETWORKDAYS(C488,J488,Fériés!$A$2:$A$40)-1)</f>
        <v/>
      </c>
      <c r="L488">
        <f>IF(J488="","",IF(H488&lt;&gt;"",IF(J488&lt;=H488,"Oui","NON"),IF(K488&lt;=6,"Oui","NON")))</f>
        <v/>
      </c>
      <c r="M488" s="4" t="n"/>
      <c r="N488" s="4" t="n"/>
      <c r="O488" s="4" t="n"/>
      <c r="P488" s="4" t="n"/>
    </row>
    <row r="489">
      <c r="A489" s="4" t="n"/>
      <c r="B489" s="4" t="n"/>
      <c r="C489" s="6" t="n"/>
      <c r="D489" s="4" t="n"/>
      <c r="E489" s="4" t="n"/>
      <c r="F489" s="4" t="n"/>
      <c r="G489" s="6" t="n"/>
      <c r="H489" s="6" t="n"/>
      <c r="I489" s="6" t="n"/>
      <c r="J489" s="6" t="n"/>
      <c r="K489">
        <f>IF(OR(C489="",J489=""),"",NETWORKDAYS(C489,J489,Fériés!$A$2:$A$40)-1)</f>
        <v/>
      </c>
      <c r="L489">
        <f>IF(J489="","",IF(H489&lt;&gt;"",IF(J489&lt;=H489,"Oui","NON"),IF(K489&lt;=6,"Oui","NON")))</f>
        <v/>
      </c>
      <c r="M489" s="4" t="n"/>
      <c r="N489" s="4" t="n"/>
      <c r="O489" s="4" t="n"/>
      <c r="P489" s="4" t="n"/>
    </row>
    <row r="490">
      <c r="A490" s="4" t="n"/>
      <c r="B490" s="4" t="n"/>
      <c r="C490" s="6" t="n"/>
      <c r="D490" s="4" t="n"/>
      <c r="E490" s="4" t="n"/>
      <c r="F490" s="4" t="n"/>
      <c r="G490" s="6" t="n"/>
      <c r="H490" s="6" t="n"/>
      <c r="I490" s="6" t="n"/>
      <c r="J490" s="6" t="n"/>
      <c r="K490">
        <f>IF(OR(C490="",J490=""),"",NETWORKDAYS(C490,J490,Fériés!$A$2:$A$40)-1)</f>
        <v/>
      </c>
      <c r="L490">
        <f>IF(J490="","",IF(H490&lt;&gt;"",IF(J490&lt;=H490,"Oui","NON"),IF(K490&lt;=6,"Oui","NON")))</f>
        <v/>
      </c>
      <c r="M490" s="4" t="n"/>
      <c r="N490" s="4" t="n"/>
      <c r="O490" s="4" t="n"/>
      <c r="P490" s="4" t="n"/>
    </row>
    <row r="491">
      <c r="A491" s="4" t="n"/>
      <c r="B491" s="4" t="n"/>
      <c r="C491" s="6" t="n"/>
      <c r="D491" s="4" t="n"/>
      <c r="E491" s="4" t="n"/>
      <c r="F491" s="4" t="n"/>
      <c r="G491" s="6" t="n"/>
      <c r="H491" s="6" t="n"/>
      <c r="I491" s="6" t="n"/>
      <c r="J491" s="6" t="n"/>
      <c r="K491">
        <f>IF(OR(C491="",J491=""),"",NETWORKDAYS(C491,J491,Fériés!$A$2:$A$40)-1)</f>
        <v/>
      </c>
      <c r="L491">
        <f>IF(J491="","",IF(H491&lt;&gt;"",IF(J491&lt;=H491,"Oui","NON"),IF(K491&lt;=6,"Oui","NON")))</f>
        <v/>
      </c>
      <c r="M491" s="4" t="n"/>
      <c r="N491" s="4" t="n"/>
      <c r="O491" s="4" t="n"/>
      <c r="P491" s="4" t="n"/>
    </row>
    <row r="492">
      <c r="A492" s="4" t="n"/>
      <c r="B492" s="4" t="n"/>
      <c r="C492" s="6" t="n"/>
      <c r="D492" s="4" t="n"/>
      <c r="E492" s="4" t="n"/>
      <c r="F492" s="4" t="n"/>
      <c r="G492" s="6" t="n"/>
      <c r="H492" s="6" t="n"/>
      <c r="I492" s="6" t="n"/>
      <c r="J492" s="6" t="n"/>
      <c r="K492">
        <f>IF(OR(C492="",J492=""),"",NETWORKDAYS(C492,J492,Fériés!$A$2:$A$40)-1)</f>
        <v/>
      </c>
      <c r="L492">
        <f>IF(J492="","",IF(H492&lt;&gt;"",IF(J492&lt;=H492,"Oui","NON"),IF(K492&lt;=6,"Oui","NON")))</f>
        <v/>
      </c>
      <c r="M492" s="4" t="n"/>
      <c r="N492" s="4" t="n"/>
      <c r="O492" s="4" t="n"/>
      <c r="P492" s="4" t="n"/>
    </row>
    <row r="493">
      <c r="A493" s="4" t="n"/>
      <c r="B493" s="4" t="n"/>
      <c r="C493" s="6" t="n"/>
      <c r="D493" s="4" t="n"/>
      <c r="E493" s="4" t="n"/>
      <c r="F493" s="4" t="n"/>
      <c r="G493" s="6" t="n"/>
      <c r="H493" s="6" t="n"/>
      <c r="I493" s="6" t="n"/>
      <c r="J493" s="6" t="n"/>
      <c r="K493">
        <f>IF(OR(C493="",J493=""),"",NETWORKDAYS(C493,J493,Fériés!$A$2:$A$40)-1)</f>
        <v/>
      </c>
      <c r="L493">
        <f>IF(J493="","",IF(H493&lt;&gt;"",IF(J493&lt;=H493,"Oui","NON"),IF(K493&lt;=6,"Oui","NON")))</f>
        <v/>
      </c>
      <c r="M493" s="4" t="n"/>
      <c r="N493" s="4" t="n"/>
      <c r="O493" s="4" t="n"/>
      <c r="P493" s="4" t="n"/>
    </row>
    <row r="494">
      <c r="A494" s="4" t="n"/>
      <c r="B494" s="4" t="n"/>
      <c r="C494" s="6" t="n"/>
      <c r="D494" s="4" t="n"/>
      <c r="E494" s="4" t="n"/>
      <c r="F494" s="4" t="n"/>
      <c r="G494" s="6" t="n"/>
      <c r="H494" s="6" t="n"/>
      <c r="I494" s="6" t="n"/>
      <c r="J494" s="6" t="n"/>
      <c r="K494">
        <f>IF(OR(C494="",J494=""),"",NETWORKDAYS(C494,J494,Fériés!$A$2:$A$40)-1)</f>
        <v/>
      </c>
      <c r="L494">
        <f>IF(J494="","",IF(H494&lt;&gt;"",IF(J494&lt;=H494,"Oui","NON"),IF(K494&lt;=6,"Oui","NON")))</f>
        <v/>
      </c>
      <c r="M494" s="4" t="n"/>
      <c r="N494" s="4" t="n"/>
      <c r="O494" s="4" t="n"/>
      <c r="P494" s="4" t="n"/>
    </row>
    <row r="495">
      <c r="A495" s="4" t="n"/>
      <c r="B495" s="4" t="n"/>
      <c r="C495" s="6" t="n"/>
      <c r="D495" s="4" t="n"/>
      <c r="E495" s="4" t="n"/>
      <c r="F495" s="4" t="n"/>
      <c r="G495" s="6" t="n"/>
      <c r="H495" s="6" t="n"/>
      <c r="I495" s="6" t="n"/>
      <c r="J495" s="6" t="n"/>
      <c r="K495">
        <f>IF(OR(C495="",J495=""),"",NETWORKDAYS(C495,J495,Fériés!$A$2:$A$40)-1)</f>
        <v/>
      </c>
      <c r="L495">
        <f>IF(J495="","",IF(H495&lt;&gt;"",IF(J495&lt;=H495,"Oui","NON"),IF(K495&lt;=6,"Oui","NON")))</f>
        <v/>
      </c>
      <c r="M495" s="4" t="n"/>
      <c r="N495" s="4" t="n"/>
      <c r="O495" s="4" t="n"/>
      <c r="P495" s="4" t="n"/>
    </row>
    <row r="496">
      <c r="A496" s="4" t="n"/>
      <c r="B496" s="4" t="n"/>
      <c r="C496" s="6" t="n"/>
      <c r="D496" s="4" t="n"/>
      <c r="E496" s="4" t="n"/>
      <c r="F496" s="4" t="n"/>
      <c r="G496" s="6" t="n"/>
      <c r="H496" s="6" t="n"/>
      <c r="I496" s="6" t="n"/>
      <c r="J496" s="6" t="n"/>
      <c r="K496">
        <f>IF(OR(C496="",J496=""),"",NETWORKDAYS(C496,J496,Fériés!$A$2:$A$40)-1)</f>
        <v/>
      </c>
      <c r="L496">
        <f>IF(J496="","",IF(H496&lt;&gt;"",IF(J496&lt;=H496,"Oui","NON"),IF(K496&lt;=6,"Oui","NON")))</f>
        <v/>
      </c>
      <c r="M496" s="4" t="n"/>
      <c r="N496" s="4" t="n"/>
      <c r="O496" s="4" t="n"/>
      <c r="P496" s="4" t="n"/>
    </row>
    <row r="497">
      <c r="A497" s="4" t="n"/>
      <c r="B497" s="4" t="n"/>
      <c r="C497" s="6" t="n"/>
      <c r="D497" s="4" t="n"/>
      <c r="E497" s="4" t="n"/>
      <c r="F497" s="4" t="n"/>
      <c r="G497" s="6" t="n"/>
      <c r="H497" s="6" t="n"/>
      <c r="I497" s="6" t="n"/>
      <c r="J497" s="6" t="n"/>
      <c r="K497">
        <f>IF(OR(C497="",J497=""),"",NETWORKDAYS(C497,J497,Fériés!$A$2:$A$40)-1)</f>
        <v/>
      </c>
      <c r="L497">
        <f>IF(J497="","",IF(H497&lt;&gt;"",IF(J497&lt;=H497,"Oui","NON"),IF(K497&lt;=6,"Oui","NON")))</f>
        <v/>
      </c>
      <c r="M497" s="4" t="n"/>
      <c r="N497" s="4" t="n"/>
      <c r="O497" s="4" t="n"/>
      <c r="P497" s="4" t="n"/>
    </row>
    <row r="498">
      <c r="A498" s="4" t="n"/>
      <c r="B498" s="4" t="n"/>
      <c r="C498" s="6" t="n"/>
      <c r="D498" s="4" t="n"/>
      <c r="E498" s="4" t="n"/>
      <c r="F498" s="4" t="n"/>
      <c r="G498" s="6" t="n"/>
      <c r="H498" s="6" t="n"/>
      <c r="I498" s="6" t="n"/>
      <c r="J498" s="6" t="n"/>
      <c r="K498">
        <f>IF(OR(C498="",J498=""),"",NETWORKDAYS(C498,J498,Fériés!$A$2:$A$40)-1)</f>
        <v/>
      </c>
      <c r="L498">
        <f>IF(J498="","",IF(H498&lt;&gt;"",IF(J498&lt;=H498,"Oui","NON"),IF(K498&lt;=6,"Oui","NON")))</f>
        <v/>
      </c>
      <c r="M498" s="4" t="n"/>
      <c r="N498" s="4" t="n"/>
      <c r="O498" s="4" t="n"/>
      <c r="P498" s="4" t="n"/>
    </row>
    <row r="499">
      <c r="A499" s="4" t="n"/>
      <c r="B499" s="4" t="n"/>
      <c r="C499" s="6" t="n"/>
      <c r="D499" s="4" t="n"/>
      <c r="E499" s="4" t="n"/>
      <c r="F499" s="4" t="n"/>
      <c r="G499" s="6" t="n"/>
      <c r="H499" s="6" t="n"/>
      <c r="I499" s="6" t="n"/>
      <c r="J499" s="6" t="n"/>
      <c r="K499">
        <f>IF(OR(C499="",J499=""),"",NETWORKDAYS(C499,J499,Fériés!$A$2:$A$40)-1)</f>
        <v/>
      </c>
      <c r="L499">
        <f>IF(J499="","",IF(H499&lt;&gt;"",IF(J499&lt;=H499,"Oui","NON"),IF(K499&lt;=6,"Oui","NON")))</f>
        <v/>
      </c>
      <c r="M499" s="4" t="n"/>
      <c r="N499" s="4" t="n"/>
      <c r="O499" s="4" t="n"/>
      <c r="P499" s="4" t="n"/>
    </row>
    <row r="500">
      <c r="A500" s="4" t="n"/>
      <c r="B500" s="4" t="n"/>
      <c r="C500" s="6" t="n"/>
      <c r="D500" s="4" t="n"/>
      <c r="E500" s="4" t="n"/>
      <c r="F500" s="4" t="n"/>
      <c r="G500" s="6" t="n"/>
      <c r="H500" s="6" t="n"/>
      <c r="I500" s="6" t="n"/>
      <c r="J500" s="6" t="n"/>
      <c r="K500">
        <f>IF(OR(C500="",J500=""),"",NETWORKDAYS(C500,J500,Fériés!$A$2:$A$40)-1)</f>
        <v/>
      </c>
      <c r="L500">
        <f>IF(J500="","",IF(H500&lt;&gt;"",IF(J500&lt;=H500,"Oui","NON"),IF(K500&lt;=6,"Oui","NON")))</f>
        <v/>
      </c>
      <c r="M500" s="4" t="n"/>
      <c r="N500" s="4" t="n"/>
      <c r="O500" s="4" t="n"/>
      <c r="P500" s="4" t="n"/>
    </row>
    <row r="501">
      <c r="A501" s="4" t="n"/>
      <c r="B501" s="4" t="n"/>
      <c r="C501" s="6" t="n"/>
      <c r="D501" s="4" t="n"/>
      <c r="E501" s="4" t="n"/>
      <c r="F501" s="4" t="n"/>
      <c r="G501" s="6" t="n"/>
      <c r="H501" s="6" t="n"/>
      <c r="I501" s="6" t="n"/>
      <c r="J501" s="6" t="n"/>
      <c r="K501">
        <f>IF(OR(C501="",J501=""),"",NETWORKDAYS(C501,J501,Fériés!$A$2:$A$40)-1)</f>
        <v/>
      </c>
      <c r="L501">
        <f>IF(J501="","",IF(H501&lt;&gt;"",IF(J501&lt;=H501,"Oui","NON"),IF(K501&lt;=6,"Oui","NON")))</f>
        <v/>
      </c>
      <c r="M501" s="4" t="n"/>
      <c r="N501" s="4" t="n"/>
      <c r="O501" s="4" t="n"/>
      <c r="P501" s="4" t="n"/>
    </row>
    <row r="502">
      <c r="A502" s="4" t="n"/>
      <c r="B502" s="4" t="n"/>
      <c r="C502" s="6" t="n"/>
      <c r="D502" s="4" t="n"/>
      <c r="E502" s="4" t="n"/>
      <c r="F502" s="4" t="n"/>
      <c r="G502" s="6" t="n"/>
      <c r="H502" s="6" t="n"/>
      <c r="I502" s="6" t="n"/>
      <c r="J502" s="6" t="n"/>
      <c r="K502">
        <f>IF(OR(C502="",J502=""),"",NETWORKDAYS(C502,J502,Fériés!$A$2:$A$40)-1)</f>
        <v/>
      </c>
      <c r="L502">
        <f>IF(J502="","",IF(H502&lt;&gt;"",IF(J502&lt;=H502,"Oui","NON"),IF(K502&lt;=6,"Oui","NON")))</f>
        <v/>
      </c>
      <c r="M502" s="4" t="n"/>
      <c r="N502" s="4" t="n"/>
      <c r="O502" s="4" t="n"/>
      <c r="P502" s="4" t="n"/>
    </row>
    <row r="503">
      <c r="A503" s="4" t="n"/>
      <c r="B503" s="4" t="n"/>
      <c r="C503" s="6" t="n"/>
      <c r="D503" s="4" t="n"/>
      <c r="E503" s="4" t="n"/>
      <c r="F503" s="4" t="n"/>
      <c r="G503" s="6" t="n"/>
      <c r="H503" s="6" t="n"/>
      <c r="I503" s="6" t="n"/>
      <c r="J503" s="6" t="n"/>
      <c r="K503">
        <f>IF(OR(C503="",J503=""),"",NETWORKDAYS(C503,J503,Fériés!$A$2:$A$40)-1)</f>
        <v/>
      </c>
      <c r="L503">
        <f>IF(J503="","",IF(H503&lt;&gt;"",IF(J503&lt;=H503,"Oui","NON"),IF(K503&lt;=6,"Oui","NON")))</f>
        <v/>
      </c>
      <c r="M503" s="4" t="n"/>
      <c r="N503" s="4" t="n"/>
      <c r="O503" s="4" t="n"/>
      <c r="P503" s="4" t="n"/>
    </row>
  </sheetData>
  <conditionalFormatting sqref="L4:L503">
    <cfRule type="cellIs" priority="1" operator="equal" dxfId="0">
      <formula>"NON"</formula>
    </cfRule>
  </conditionalFormatting>
  <dataValidations count="1">
    <dataValidation sqref="B4:B2000" showDropDown="0" showInputMessage="0" showErrorMessage="0" allowBlank="1" type="list">
      <formula1>"site,tiktok-propre,tiktok-affilie,autre"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52" customWidth="1" min="2" max="2"/>
  </cols>
  <sheetData>
    <row r="1">
      <c r="A1" s="1" t="inlineStr">
        <is>
          <t>Délai de livraison réel (brand.json → livraison.regle_recalcul)</t>
        </is>
      </c>
    </row>
    <row r="3">
      <c r="A3" t="inlineStr">
        <is>
          <t>Livraisons mesurées</t>
        </is>
      </c>
      <c r="B3">
        <f>COUNT(Commandes!K4:K503)</f>
        <v/>
      </c>
    </row>
    <row r="4">
      <c r="A4" t="inlineStr">
        <is>
          <t>Délai moyen (jours ouvrés après la commande)</t>
        </is>
      </c>
      <c r="B4">
        <f>IF(B3=0,"",AVERAGE(Commandes!K4:K503))</f>
        <v/>
      </c>
    </row>
    <row r="5">
      <c r="A5" t="inlineStr">
        <is>
          <t>90e centile (jours ouvrés)</t>
        </is>
      </c>
      <c r="B5">
        <f>IF(B3=0,"",PERCENTILE(Commandes!K4:K503,0.9))</f>
        <v/>
      </c>
    </row>
    <row r="6">
      <c r="A6" t="inlineStr">
        <is>
          <t>Délai à afficher après 30 livraisons (90e centile + 2 jours ouvrés)</t>
        </is>
      </c>
      <c r="B6">
        <f>IF(B3&lt;30,"Attendre 30 livraisons (afficher 3 à 6 jours ouvrés)",ROUNDUP(B5,0)+2)</f>
        <v/>
      </c>
    </row>
    <row r="7">
      <c r="A7" t="inlineStr">
        <is>
          <t>Alerte</t>
        </is>
      </c>
      <c r="B7">
        <f>IF(B5="","",IF(B5&gt;6,"ALERTE : 90e centile &gt; 6 jours ouvrés, revoir la promesse ou le transporteur","OK"))</f>
        <v/>
      </c>
    </row>
    <row r="8">
      <c r="A8" t="inlineStr">
        <is>
          <t>Commandes hors délai</t>
        </is>
      </c>
      <c r="B8">
        <f>COUNTIF(Commandes!L4:L503,"NON")</f>
        <v/>
      </c>
    </row>
    <row r="10">
      <c r="A10" s="8" t="inlineStr">
        <is>
          <t>TikTok Shop en expédition par le vendeur : livraison sous 4 jours ouvrés exigée. Mondial Relay interdit tant que le 90e centile mesuré dépasse 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0" customWidth="1" min="5" max="5"/>
    <col width="40" customWidth="1" min="6" max="6"/>
  </cols>
  <sheetData>
    <row r="1">
      <c r="A1" s="1" t="inlineStr">
        <is>
          <t>Mouvements de stock (une ligne par mouvement)</t>
        </is>
      </c>
    </row>
    <row r="3">
      <c r="A3" s="9" t="inlineStr">
        <is>
          <t>Date</t>
        </is>
      </c>
      <c r="B3" s="9" t="inlineStr">
        <is>
          <t>SKU</t>
        </is>
      </c>
      <c r="C3" s="9" t="inlineStr">
        <is>
          <t>Type</t>
        </is>
      </c>
      <c r="D3" s="9" t="inlineStr">
        <is>
          <t>Quantité (+ entrée / − sortie)</t>
        </is>
      </c>
      <c r="E3" s="9" t="inlineStr">
        <is>
          <t>Lot (AAMM)</t>
        </is>
      </c>
      <c r="F3" s="9" t="inlineStr">
        <is>
          <t>Commentaire</t>
        </is>
      </c>
    </row>
    <row r="4">
      <c r="A4" s="6" t="n">
        <v>46357</v>
      </c>
      <c r="B4" s="4" t="inlineStr">
        <is>
          <t>CNP-ROU-01</t>
        </is>
      </c>
      <c r="C4" s="4" t="inlineStr">
        <is>
          <t>réception</t>
        </is>
      </c>
      <c r="D4" s="4" t="n">
        <v>40</v>
      </c>
      <c r="E4" s="4" t="n"/>
      <c r="F4" s="4" t="inlineStr">
        <is>
          <t>Micro-stock initial (exemple, à corriger à réception)</t>
        </is>
      </c>
    </row>
    <row r="5">
      <c r="A5" s="6" t="n">
        <v>46357</v>
      </c>
      <c r="B5" s="4" t="inlineStr">
        <is>
          <t>CNP-GAN-01</t>
        </is>
      </c>
      <c r="C5" s="4" t="inlineStr">
        <is>
          <t>réception</t>
        </is>
      </c>
      <c r="D5" s="4" t="n">
        <v>45</v>
      </c>
      <c r="E5" s="4" t="n"/>
      <c r="F5" s="4" t="inlineStr">
        <is>
          <t>Micro-stock initial (exemple, à corriger à réception)</t>
        </is>
      </c>
    </row>
    <row r="6">
      <c r="A6" s="6" t="n">
        <v>46357</v>
      </c>
      <c r="B6" s="4" t="inlineStr">
        <is>
          <t>CNP-RAC-01</t>
        </is>
      </c>
      <c r="C6" s="4" t="inlineStr">
        <is>
          <t>réception</t>
        </is>
      </c>
      <c r="D6" s="4" t="n">
        <v>12</v>
      </c>
      <c r="E6" s="4" t="n"/>
      <c r="F6" s="4" t="inlineStr">
        <is>
          <t>Micro-stock initial (exemple, à corriger à réception)</t>
        </is>
      </c>
    </row>
    <row r="7">
      <c r="A7" s="6" t="n">
        <v>46357</v>
      </c>
      <c r="B7" s="4" t="inlineStr">
        <is>
          <t>CNP-TAP-01</t>
        </is>
      </c>
      <c r="C7" s="4" t="inlineStr">
        <is>
          <t>réception</t>
        </is>
      </c>
      <c r="D7" s="4" t="n">
        <v>8</v>
      </c>
      <c r="E7" s="4" t="n"/>
      <c r="F7" s="4" t="inlineStr">
        <is>
          <t>Micro-stock initial (exemple, à corriger à réception)</t>
        </is>
      </c>
    </row>
  </sheetData>
  <dataValidations count="2">
    <dataValidation sqref="B4:B3000" showDropDown="0" showInputMessage="0" showErrorMessage="0" allowBlank="1" type="list">
      <formula1>"CNP-ROU-01,CNP-GAN-01,CNP-RAC-01,CNP-TAP-01"</formula1>
    </dataValidation>
    <dataValidation sqref="C4:C3000" showDropDown="0" showInputMessage="0" showErrorMessage="0" allowBlank="1" type="list">
      <formula1>"réception,vente site,vente TikTok,échantillon créateur,prime,casse,retour,inventaire"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0" customWidth="1" min="4" max="4"/>
    <col width="22" customWidth="1" min="5" max="5"/>
    <col width="40" customWidth="1" min="6" max="6"/>
    <col width="36" customWidth="1" min="7" max="7"/>
  </cols>
  <sheetData>
    <row r="1">
      <c r="A1" s="1" t="inlineStr">
        <is>
          <t>Stock par produit (à recopier chaque matin dans brand.json → produits[].stock_disponible)</t>
        </is>
      </c>
    </row>
    <row r="3">
      <c r="A3" s="9" t="inlineStr">
        <is>
          <t>SKU</t>
        </is>
      </c>
      <c r="B3" s="9" t="inlineStr">
        <is>
          <t>Produit</t>
        </is>
      </c>
      <c r="C3" s="9" t="inlineStr">
        <is>
          <t>Stock réel</t>
        </is>
      </c>
      <c r="D3" s="9" t="inlineStr">
        <is>
          <t>Stock à saisir sur le site (brand.json)</t>
        </is>
      </c>
      <c r="E3" s="9" t="inlineStr">
        <is>
          <t>Stock à saisir sur TikTok Shop (réel − 2)</t>
        </is>
      </c>
      <c r="F3" s="9" t="inlineStr">
        <is>
          <t>État sur le site</t>
        </is>
      </c>
      <c r="G3" s="9" t="inlineStr">
        <is>
          <t>Alerte réassort</t>
        </is>
      </c>
    </row>
    <row r="4">
      <c r="A4" t="inlineStr">
        <is>
          <t>CNP-ROU-01</t>
        </is>
      </c>
      <c r="B4" t="inlineStr">
        <is>
          <t>Le Rouleau anti-poils réutilisable</t>
        </is>
      </c>
      <c r="C4">
        <f>SUMIFS('Mouvements stock'!D:D,'Mouvements stock'!B:B,A4)</f>
        <v/>
      </c>
      <c r="D4">
        <f>C4</f>
        <v/>
      </c>
      <c r="E4">
        <f>MAX(0,C4-2)</f>
        <v/>
      </c>
      <c r="F4">
        <f>IF(C4&gt;=5,"disponible",IF(C4&gt;0,"précommande (dates de réassort) ou indisponible","indisponible"))</f>
        <v/>
      </c>
      <c r="G4">
        <f>IF(C4&lt;10,"Réassort à décider (express en pic viral)","OK")</f>
        <v/>
      </c>
    </row>
    <row r="5">
      <c r="A5" t="inlineStr">
        <is>
          <t>CNP-GAN-01</t>
        </is>
      </c>
      <c r="B5" t="inlineStr">
        <is>
          <t>Le Gant de toilettage en silicone</t>
        </is>
      </c>
      <c r="C5">
        <f>SUMIFS('Mouvements stock'!D:D,'Mouvements stock'!B:B,A5)</f>
        <v/>
      </c>
      <c r="D5">
        <f>C5</f>
        <v/>
      </c>
      <c r="E5">
        <f>MAX(0,C5-2)</f>
        <v/>
      </c>
      <c r="F5">
        <f>IF(C5&gt;=5,"disponible",IF(C5&gt;0,"précommande (dates de réassort) ou indisponible","indisponible"))</f>
        <v/>
      </c>
      <c r="G5">
        <f>IF(C5&lt;10,"Réassort à décider (express en pic viral)","OK")</f>
        <v/>
      </c>
    </row>
    <row r="6">
      <c r="A6" t="inlineStr">
        <is>
          <t>CNP-RAC-01</t>
        </is>
      </c>
      <c r="B6" t="inlineStr">
        <is>
          <t>La Raclette anti-poils tapis et voiture</t>
        </is>
      </c>
      <c r="C6">
        <f>SUMIFS('Mouvements stock'!D:D,'Mouvements stock'!B:B,A6)</f>
        <v/>
      </c>
      <c r="D6">
        <f>C6</f>
        <v/>
      </c>
      <c r="E6">
        <f>MAX(0,C6-2)</f>
        <v/>
      </c>
      <c r="F6">
        <f>IF(C6&gt;=5,"disponible",IF(C6&gt;0,"précommande (dates de réassort) ou indisponible","indisponible"))</f>
        <v/>
      </c>
      <c r="G6">
        <f>IF(C6&lt;10,"Réassort à décider (express en pic viral)","OK")</f>
        <v/>
      </c>
    </row>
    <row r="7">
      <c r="A7" t="inlineStr">
        <is>
          <t>CNP-TAP-01</t>
        </is>
      </c>
      <c r="B7" t="inlineStr">
        <is>
          <t>Le Tapis de fenêtre thermique</t>
        </is>
      </c>
      <c r="C7">
        <f>SUMIFS('Mouvements stock'!D:D,'Mouvements stock'!B:B,A7)</f>
        <v/>
      </c>
      <c r="D7">
        <f>C7</f>
        <v/>
      </c>
      <c r="E7">
        <f>MAX(0,C7-2)</f>
        <v/>
      </c>
      <c r="F7">
        <f>IF(C7&gt;=5,"disponible",IF(C7&gt;0,"précommande (dates de réassort) ou indisponible","indisponible"))</f>
        <v/>
      </c>
      <c r="G7">
        <f>IF(C7&lt;10,"Réassort à décider (express en pic viral)","OK")</f>
        <v/>
      </c>
    </row>
    <row r="10">
      <c r="A10" t="inlineStr">
        <is>
          <t>Grand kit (composant le plus rare)</t>
        </is>
      </c>
      <c r="C10">
        <f>MIN(C4,INT(C5),C6)</f>
        <v/>
      </c>
    </row>
  </sheetData>
  <conditionalFormatting sqref="C4:C10">
    <cfRule type="cellIs" priority="1" operator="lessThan" dxfId="0">
      <formula>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Tableau de bord hebdomadaire (04 §6.7, 07 §8)</t>
        </is>
      </c>
    </row>
    <row r="3">
      <c r="A3" s="9" t="inlineStr">
        <is>
          <t>KPI</t>
        </is>
      </c>
      <c r="B3" s="9" t="inlineStr">
        <is>
          <t>Cible</t>
        </is>
      </c>
      <c r="C3" s="9" t="inlineStr">
        <is>
          <t>Seuil d'alerte</t>
        </is>
      </c>
      <c r="D3" s="9" t="inlineStr">
        <is>
          <t>S1</t>
        </is>
      </c>
      <c r="E3" s="9" t="inlineStr">
        <is>
          <t>S2</t>
        </is>
      </c>
      <c r="F3" s="9" t="inlineStr">
        <is>
          <t>S3</t>
        </is>
      </c>
      <c r="G3" s="9" t="inlineStr">
        <is>
          <t>S4</t>
        </is>
      </c>
      <c r="H3" s="9" t="inlineStr">
        <is>
          <t>S5</t>
        </is>
      </c>
      <c r="I3" s="9" t="inlineStr">
        <is>
          <t>S6</t>
        </is>
      </c>
      <c r="J3" s="9" t="inlineStr">
        <is>
          <t>S7</t>
        </is>
      </c>
      <c r="K3" s="9" t="inlineStr">
        <is>
          <t>S8</t>
        </is>
      </c>
      <c r="L3" s="9" t="inlineStr">
        <is>
          <t>S9</t>
        </is>
      </c>
      <c r="M3" s="9" t="inlineStr">
        <is>
          <t>S10</t>
        </is>
      </c>
      <c r="N3" s="9" t="inlineStr">
        <is>
          <t>S11</t>
        </is>
      </c>
      <c r="O3" s="9" t="inlineStr">
        <is>
          <t>S12</t>
        </is>
      </c>
      <c r="P3" s="9" t="inlineStr">
        <is>
          <t>S13</t>
        </is>
      </c>
    </row>
    <row r="4">
      <c r="A4" t="inlineStr">
        <is>
          <t>Vidéos publiées</t>
        </is>
      </c>
      <c r="B4" t="inlineStr">
        <is>
          <t>14</t>
        </is>
      </c>
      <c r="C4" t="inlineStr">
        <is>
          <t>&lt; 10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t="inlineStr">
        <is>
          <t>Vues médianes par vidéo (J+7)</t>
        </is>
      </c>
      <c r="B5" t="inlineStr">
        <is>
          <t>2 000 à J+60</t>
        </is>
      </c>
      <c r="C5" t="inlineStr">
        <is>
          <t>&lt; 500 après S6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t="inlineStr">
        <is>
          <t>Taux de clics produit (%)</t>
        </is>
      </c>
      <c r="B6" t="inlineStr">
        <is>
          <t>≥ 1,5 (porte 1)</t>
        </is>
      </c>
      <c r="C6" t="inlineStr">
        <is>
          <t>&lt; 0,5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t="inlineStr">
        <is>
          <t>Inscrits confirmés (cumul)</t>
        </is>
      </c>
      <c r="B7" t="inlineStr">
        <is>
          <t>150 à la porte 1</t>
        </is>
      </c>
      <c r="C7" t="inlineStr">
        <is>
          <t>—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t="inlineStr">
        <is>
          <t>Commentaires d'intention (14 j, hors entourage)</t>
        </is>
      </c>
      <c r="B8" t="inlineStr">
        <is>
          <t>≥ 20</t>
        </is>
      </c>
      <c r="C8" t="inlineStr">
        <is>
          <t>&lt; 20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t="inlineStr">
        <is>
          <t>Sessions du site</t>
        </is>
      </c>
      <c r="B9" t="inlineStr">
        <is>
          <t>1 000 à S13</t>
        </is>
      </c>
      <c r="C9" t="inlineStr">
        <is>
          <t>&lt; 200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t="inlineStr">
        <is>
          <t>Conversion du site (%)</t>
        </is>
      </c>
      <c r="B10" t="inlineStr">
        <is>
          <t>≥ 1,5</t>
        </is>
      </c>
      <c r="C10" t="inlineStr">
        <is>
          <t>&lt; 0,8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t="inlineStr">
        <is>
          <t>Commandes par jour (moyenne 7 j)</t>
        </is>
      </c>
      <c r="B11" t="inlineStr">
        <is>
          <t>5 (palier 1)</t>
        </is>
      </c>
      <c r="C11" t="inlineStr">
        <is>
          <t>&lt; 3 sur 14 j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t="inlineStr">
        <is>
          <t>Marge moyenne par commande (€)</t>
        </is>
      </c>
      <c r="B12" t="inlineStr">
        <is>
          <t>≥ 6,30</t>
        </is>
      </c>
      <c r="C12" t="inlineStr">
        <is>
          <t>&lt; 5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t="inlineStr">
        <is>
          <t>Réserve de trésorerie (€)</t>
        </is>
      </c>
      <c r="B13" t="inlineStr">
        <is>
          <t>≥ 300</t>
        </is>
      </c>
      <c r="C13" t="inlineStr">
        <is>
          <t>&lt; 300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t="inlineStr">
        <is>
          <t>Stock le plus bas (unités)</t>
        </is>
      </c>
      <c r="B14" t="inlineStr">
        <is>
          <t>≥ 5</t>
        </is>
      </c>
      <c r="C14" t="inlineStr">
        <is>
          <t>&lt; 5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t="inlineStr">
        <is>
          <t>Délai de livraison, 90e centile (jours ouvrés)</t>
        </is>
      </c>
      <c r="B15" t="inlineStr">
        <is>
          <t>≤ 6</t>
        </is>
      </c>
      <c r="C15" t="inlineStr">
        <is>
          <t>&gt; 7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t="inlineStr">
        <is>
          <t>Taux de retour (%)</t>
        </is>
      </c>
      <c r="B16" t="inlineStr">
        <is>
          <t>≤ 5</t>
        </is>
      </c>
      <c r="C16" t="inlineStr">
        <is>
          <t>&gt; 8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t="inlineStr">
        <is>
          <t>Taux de litige (%)</t>
        </is>
      </c>
      <c r="B17" t="inlineStr">
        <is>
          <t>&lt; 0,5</t>
        </is>
      </c>
      <c r="C17" t="inlineStr">
        <is>
          <t>&gt; 1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t="inlineStr">
        <is>
          <t>Affiliés actifs</t>
        </is>
      </c>
      <c r="B18" t="inlineStr">
        <is>
          <t>15 à J+90</t>
        </is>
      </c>
      <c r="C18" t="inlineStr">
        <is>
          <t>&lt; 5 à J+60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t="inlineStr">
        <is>
          <t>Heures travaillées</t>
        </is>
      </c>
      <c r="B19" t="inlineStr">
        <is>
          <t>25</t>
        </is>
      </c>
      <c r="C19" t="inlineStr">
        <is>
          <t>&gt; 30 ou &lt; 15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</sheetData>
  <conditionalFormatting sqref="D13:P13">
    <cfRule type="cellIs" priority="1" operator="lessThan" dxfId="0">
      <formula>300</formula>
    </cfRule>
  </conditionalFormatting>
  <conditionalFormatting sqref="D14:P14">
    <cfRule type="cellIs" priority="2" operator="lessThan" dxfId="0">
      <formula>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0" customWidth="1" min="3" max="3"/>
    <col width="20" customWidth="1" min="4" max="4"/>
    <col width="14" customWidth="1" min="5" max="5"/>
    <col width="14" customWidth="1" min="6" max="6"/>
    <col width="14" customWidth="1" min="7" max="7"/>
    <col width="24" customWidth="1" min="8" max="8"/>
  </cols>
  <sheetData>
    <row r="1">
      <c r="A1" s="1" t="inlineStr">
        <is>
          <t>Relevé de 20 rouleaux anti-poils réutilisables sur TikTok Shop (onglet Boutique, avant la porte 1)</t>
        </is>
      </c>
    </row>
    <row r="3">
      <c r="A3" s="9" t="inlineStr">
        <is>
          <t>Rang</t>
        </is>
      </c>
      <c r="B3" s="9" t="inlineStr">
        <is>
          <t>Prix TTC (€)</t>
        </is>
      </c>
      <c r="C3" s="9" t="inlineStr">
        <is>
          <t>Nom affiché</t>
        </is>
      </c>
      <c r="D3" s="9" t="inlineStr">
        <is>
          <t>Vendeur</t>
        </is>
      </c>
      <c r="E3" s="9" t="inlineStr">
        <is>
          <t>Ventes affichées</t>
        </is>
      </c>
      <c r="F3" s="9" t="inlineStr">
        <is>
          <t>Délai annoncé</t>
        </is>
      </c>
      <c r="G3" s="9" t="inlineStr">
        <is>
          <t>Date du relevé</t>
        </is>
      </c>
      <c r="H3" s="9" t="inlineStr">
        <is>
          <t>Capture (nom du fichier)</t>
        </is>
      </c>
    </row>
    <row r="4">
      <c r="A4" t="n">
        <v>1</v>
      </c>
      <c r="B4" s="4" t="n"/>
      <c r="C4" s="4" t="n"/>
      <c r="D4" s="4" t="n"/>
      <c r="E4" s="4" t="n"/>
      <c r="F4" s="4" t="n"/>
      <c r="G4" s="4" t="n"/>
      <c r="H4" s="4" t="n"/>
    </row>
    <row r="5">
      <c r="A5" t="n">
        <v>2</v>
      </c>
      <c r="B5" s="4" t="n"/>
      <c r="C5" s="4" t="n"/>
      <c r="D5" s="4" t="n"/>
      <c r="E5" s="4" t="n"/>
      <c r="F5" s="4" t="n"/>
      <c r="G5" s="4" t="n"/>
      <c r="H5" s="4" t="n"/>
    </row>
    <row r="6">
      <c r="A6" t="n">
        <v>3</v>
      </c>
      <c r="B6" s="4" t="n"/>
      <c r="C6" s="4" t="n"/>
      <c r="D6" s="4" t="n"/>
      <c r="E6" s="4" t="n"/>
      <c r="F6" s="4" t="n"/>
      <c r="G6" s="4" t="n"/>
      <c r="H6" s="4" t="n"/>
    </row>
    <row r="7">
      <c r="A7" t="n">
        <v>4</v>
      </c>
      <c r="B7" s="4" t="n"/>
      <c r="C7" s="4" t="n"/>
      <c r="D7" s="4" t="n"/>
      <c r="E7" s="4" t="n"/>
      <c r="F7" s="4" t="n"/>
      <c r="G7" s="4" t="n"/>
      <c r="H7" s="4" t="n"/>
    </row>
    <row r="8">
      <c r="A8" t="n">
        <v>5</v>
      </c>
      <c r="B8" s="4" t="n"/>
      <c r="C8" s="4" t="n"/>
      <c r="D8" s="4" t="n"/>
      <c r="E8" s="4" t="n"/>
      <c r="F8" s="4" t="n"/>
      <c r="G8" s="4" t="n"/>
      <c r="H8" s="4" t="n"/>
    </row>
    <row r="9">
      <c r="A9" t="n">
        <v>6</v>
      </c>
      <c r="B9" s="4" t="n"/>
      <c r="C9" s="4" t="n"/>
      <c r="D9" s="4" t="n"/>
      <c r="E9" s="4" t="n"/>
      <c r="F9" s="4" t="n"/>
      <c r="G9" s="4" t="n"/>
      <c r="H9" s="4" t="n"/>
    </row>
    <row r="10">
      <c r="A10" t="n">
        <v>7</v>
      </c>
      <c r="B10" s="4" t="n"/>
      <c r="C10" s="4" t="n"/>
      <c r="D10" s="4" t="n"/>
      <c r="E10" s="4" t="n"/>
      <c r="F10" s="4" t="n"/>
      <c r="G10" s="4" t="n"/>
      <c r="H10" s="4" t="n"/>
    </row>
    <row r="11">
      <c r="A11" t="n">
        <v>8</v>
      </c>
      <c r="B11" s="4" t="n"/>
      <c r="C11" s="4" t="n"/>
      <c r="D11" s="4" t="n"/>
      <c r="E11" s="4" t="n"/>
      <c r="F11" s="4" t="n"/>
      <c r="G11" s="4" t="n"/>
      <c r="H11" s="4" t="n"/>
    </row>
    <row r="12">
      <c r="A12" t="n">
        <v>9</v>
      </c>
      <c r="B12" s="4" t="n"/>
      <c r="C12" s="4" t="n"/>
      <c r="D12" s="4" t="n"/>
      <c r="E12" s="4" t="n"/>
      <c r="F12" s="4" t="n"/>
      <c r="G12" s="4" t="n"/>
      <c r="H12" s="4" t="n"/>
    </row>
    <row r="13">
      <c r="A13" t="n">
        <v>10</v>
      </c>
      <c r="B13" s="4" t="n"/>
      <c r="C13" s="4" t="n"/>
      <c r="D13" s="4" t="n"/>
      <c r="E13" s="4" t="n"/>
      <c r="F13" s="4" t="n"/>
      <c r="G13" s="4" t="n"/>
      <c r="H13" s="4" t="n"/>
    </row>
    <row r="14">
      <c r="A14" t="n">
        <v>11</v>
      </c>
      <c r="B14" s="4" t="n"/>
      <c r="C14" s="4" t="n"/>
      <c r="D14" s="4" t="n"/>
      <c r="E14" s="4" t="n"/>
      <c r="F14" s="4" t="n"/>
      <c r="G14" s="4" t="n"/>
      <c r="H14" s="4" t="n"/>
    </row>
    <row r="15">
      <c r="A15" t="n">
        <v>12</v>
      </c>
      <c r="B15" s="4" t="n"/>
      <c r="C15" s="4" t="n"/>
      <c r="D15" s="4" t="n"/>
      <c r="E15" s="4" t="n"/>
      <c r="F15" s="4" t="n"/>
      <c r="G15" s="4" t="n"/>
      <c r="H15" s="4" t="n"/>
    </row>
    <row r="16">
      <c r="A16" t="n">
        <v>13</v>
      </c>
      <c r="B16" s="4" t="n"/>
      <c r="C16" s="4" t="n"/>
      <c r="D16" s="4" t="n"/>
      <c r="E16" s="4" t="n"/>
      <c r="F16" s="4" t="n"/>
      <c r="G16" s="4" t="n"/>
      <c r="H16" s="4" t="n"/>
    </row>
    <row r="17">
      <c r="A17" t="n">
        <v>14</v>
      </c>
      <c r="B17" s="4" t="n"/>
      <c r="C17" s="4" t="n"/>
      <c r="D17" s="4" t="n"/>
      <c r="E17" s="4" t="n"/>
      <c r="F17" s="4" t="n"/>
      <c r="G17" s="4" t="n"/>
      <c r="H17" s="4" t="n"/>
    </row>
    <row r="18">
      <c r="A18" t="n">
        <v>15</v>
      </c>
      <c r="B18" s="4" t="n"/>
      <c r="C18" s="4" t="n"/>
      <c r="D18" s="4" t="n"/>
      <c r="E18" s="4" t="n"/>
      <c r="F18" s="4" t="n"/>
      <c r="G18" s="4" t="n"/>
      <c r="H18" s="4" t="n"/>
    </row>
    <row r="19">
      <c r="A19" t="n">
        <v>16</v>
      </c>
      <c r="B19" s="4" t="n"/>
      <c r="C19" s="4" t="n"/>
      <c r="D19" s="4" t="n"/>
      <c r="E19" s="4" t="n"/>
      <c r="F19" s="4" t="n"/>
      <c r="G19" s="4" t="n"/>
      <c r="H19" s="4" t="n"/>
    </row>
    <row r="20">
      <c r="A20" t="n">
        <v>17</v>
      </c>
      <c r="B20" s="4" t="n"/>
      <c r="C20" s="4" t="n"/>
      <c r="D20" s="4" t="n"/>
      <c r="E20" s="4" t="n"/>
      <c r="F20" s="4" t="n"/>
      <c r="G20" s="4" t="n"/>
      <c r="H20" s="4" t="n"/>
    </row>
    <row r="21">
      <c r="A21" t="n">
        <v>18</v>
      </c>
      <c r="B21" s="4" t="n"/>
      <c r="C21" s="4" t="n"/>
      <c r="D21" s="4" t="n"/>
      <c r="E21" s="4" t="n"/>
      <c r="F21" s="4" t="n"/>
      <c r="G21" s="4" t="n"/>
      <c r="H21" s="4" t="n"/>
    </row>
    <row r="22">
      <c r="A22" t="n">
        <v>19</v>
      </c>
      <c r="B22" s="4" t="n"/>
      <c r="C22" s="4" t="n"/>
      <c r="D22" s="4" t="n"/>
      <c r="E22" s="4" t="n"/>
      <c r="F22" s="4" t="n"/>
      <c r="G22" s="4" t="n"/>
      <c r="H22" s="4" t="n"/>
    </row>
    <row r="23">
      <c r="A23" t="n">
        <v>20</v>
      </c>
      <c r="B23" s="4" t="n"/>
      <c r="C23" s="4" t="n"/>
      <c r="D23" s="4" t="n"/>
      <c r="E23" s="4" t="n"/>
      <c r="F23" s="4" t="n"/>
      <c r="G23" s="4" t="n"/>
      <c r="H23" s="4" t="n"/>
    </row>
    <row r="25">
      <c r="A25" t="inlineStr">
        <is>
          <t>Médiane</t>
        </is>
      </c>
      <c r="B25">
        <f>IF(COUNT(B4:B23)=0,"",MEDIAN(B4:B23))</f>
        <v/>
      </c>
    </row>
    <row r="26">
      <c r="A26" t="inlineStr">
        <is>
          <t>Décision</t>
        </is>
      </c>
      <c r="B26">
        <f>IF(B25="","Relevé à faire",IF(B25&lt;16,"Rouleau à 19,90 € et Grand kit seul mis en avant","Rouleau à 24,90 €"))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50" customWidth="1" min="5" max="5"/>
    <col width="14" customWidth="1" min="6" max="6"/>
    <col width="12" customWidth="1" min="7" max="7"/>
    <col width="40" customWidth="1" min="8" max="8"/>
    <col width="14" customWidth="1" min="9" max="9"/>
    <col width="18" customWidth="1" min="10" max="10"/>
    <col width="12" customWidth="1" min="11" max="11"/>
  </cols>
  <sheetData>
    <row r="1">
      <c r="A1" s="1" t="inlineStr">
        <is>
          <t>Registre des réclamations et incidents de sécurité (règlement (UE) 2023/988), conservé 10 ans</t>
        </is>
      </c>
    </row>
    <row r="3">
      <c r="A3" s="9" t="inlineStr">
        <is>
          <t>Date</t>
        </is>
      </c>
      <c r="B3" s="9" t="inlineStr">
        <is>
          <t>Commande</t>
        </is>
      </c>
      <c r="C3" s="9" t="inlineStr">
        <is>
          <t>SKU</t>
        </is>
      </c>
      <c r="D3" s="9" t="inlineStr">
        <is>
          <t>Lot</t>
        </is>
      </c>
      <c r="E3" s="9" t="inlineStr">
        <is>
          <t>Description</t>
        </is>
      </c>
      <c r="F3" s="9" t="inlineStr">
        <is>
          <t>Blessure ou dommage (oui/non)</t>
        </is>
      </c>
      <c r="G3" s="9" t="inlineStr">
        <is>
          <t>Gravité</t>
        </is>
      </c>
      <c r="H3" s="9" t="inlineStr">
        <is>
          <t>Mesure prise</t>
        </is>
      </c>
      <c r="I3" s="9" t="inlineStr">
        <is>
          <t>Fabricant informé le</t>
        </is>
      </c>
      <c r="J3" s="9" t="inlineStr">
        <is>
          <t>Safety Business Gateway (si accident grave) le</t>
        </is>
      </c>
      <c r="K3" s="9" t="inlineStr">
        <is>
          <t>Clôture 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36" customWidth="1" min="4" max="4"/>
    <col width="28" customWidth="1" min="5" max="5"/>
    <col width="26" customWidth="1" min="6" max="6"/>
    <col width="26" customWidth="1" min="7" max="7"/>
  </cols>
  <sheetData>
    <row r="1">
      <c r="A1" s="1" t="inlineStr">
        <is>
          <t>Registre des traitements (art. 30 RGPD) : base de départ, à compléter</t>
        </is>
      </c>
    </row>
    <row r="3">
      <c r="A3" s="9" t="inlineStr">
        <is>
          <t>Traitement</t>
        </is>
      </c>
      <c r="B3" s="9" t="inlineStr">
        <is>
          <t>Finalité</t>
        </is>
      </c>
      <c r="C3" s="9" t="inlineStr">
        <is>
          <t>Base légale</t>
        </is>
      </c>
      <c r="D3" s="9" t="inlineStr">
        <is>
          <t>Données</t>
        </is>
      </c>
      <c r="E3" s="9" t="inlineStr">
        <is>
          <t>Destinataires</t>
        </is>
      </c>
      <c r="F3" s="9" t="inlineStr">
        <is>
          <t>Durée de conservation</t>
        </is>
      </c>
      <c r="G3" s="9" t="inlineStr">
        <is>
          <t>Sécurité</t>
        </is>
      </c>
    </row>
    <row r="4">
      <c r="A4" s="11" t="inlineStr">
        <is>
          <t>Commandes</t>
        </is>
      </c>
      <c r="B4" s="11" t="inlineStr">
        <is>
          <t>Gestion des commandes, livraisons, retours</t>
        </is>
      </c>
      <c r="C4" s="11" t="inlineStr">
        <is>
          <t>Contrat</t>
        </is>
      </c>
      <c r="D4" s="11" t="inlineStr">
        <is>
          <t>Identité, adresse, e-mail, téléphone, commande</t>
        </is>
      </c>
      <c r="E4" s="11" t="inlineStr">
        <is>
          <t>Stripe, Mondial Relay, Brevo, hébergeur</t>
        </is>
      </c>
      <c r="F4" s="11" t="inlineStr">
        <is>
          <t>5 ans (10 ans pour la comptabilité)</t>
        </is>
      </c>
      <c r="G4" s="11" t="inlineStr">
        <is>
          <t>Accès protégé, double authentification</t>
        </is>
      </c>
    </row>
    <row r="5">
      <c r="A5" s="11" t="inlineStr">
        <is>
          <t>Liste d'attente et e-mails</t>
        </is>
      </c>
      <c r="B5" s="11" t="inlineStr">
        <is>
          <t>Annonce du lancement, tests, nouveautés</t>
        </is>
      </c>
      <c r="C5" s="11" t="inlineStr">
        <is>
          <t>Consentement (case non pré-cochée, date dans Brevo)</t>
        </is>
      </c>
      <c r="D5" s="11" t="inlineStr">
        <is>
          <t>E-mail, produit d'intérêt, date et texte du consentement, UTM</t>
        </is>
      </c>
      <c r="E5" s="11" t="inlineStr">
        <is>
          <t>Brevo</t>
        </is>
      </c>
      <c r="F5" s="11" t="inlineStr">
        <is>
          <t>3 ans après le dernier contact actif</t>
        </is>
      </c>
      <c r="G5" s="11" t="inlineStr">
        <is>
          <t>Double opt-in</t>
        </is>
      </c>
    </row>
    <row r="6">
      <c r="A6" s="11" t="inlineStr">
        <is>
          <t>Rétractation en ligne</t>
        </is>
      </c>
      <c r="B6" s="11" t="inlineStr">
        <is>
          <t>Accusé de réception de la déclaration</t>
        </is>
      </c>
      <c r="C6" s="11" t="inlineStr">
        <is>
          <t>Obligation légale</t>
        </is>
      </c>
      <c r="D6" s="11" t="inlineStr">
        <is>
          <t>Nom, prénom, commande, e-mail, IP (anti-abus)</t>
        </is>
      </c>
      <c r="E6" s="11" t="inlineStr">
        <is>
          <t>Brevo, service client</t>
        </is>
      </c>
      <c r="F6" s="11" t="inlineStr">
        <is>
          <t>5 ans</t>
        </is>
      </c>
      <c r="G6" s="11" t="inlineStr">
        <is>
          <t>Vérification de la commande Stripe</t>
        </is>
      </c>
    </row>
    <row r="7">
      <c r="A7" s="11" t="inlineStr">
        <is>
          <t>Anti-abus des formulaires</t>
        </is>
      </c>
      <c r="B7" s="11" t="inlineStr">
        <is>
          <t>Turnstile, limite de 3 envois par heure</t>
        </is>
      </c>
      <c r="C7" s="11" t="inlineStr">
        <is>
          <t>Intérêt légitime</t>
        </is>
      </c>
      <c r="D7" s="11" t="inlineStr">
        <is>
          <t>Adresse IP, jeton Turnstile</t>
        </is>
      </c>
      <c r="E7" s="11" t="inlineStr">
        <is>
          <t>Cloudflare</t>
        </is>
      </c>
      <c r="F7" s="11" t="inlineStr">
        <is>
          <t>1 heure (compteur)</t>
        </is>
      </c>
      <c r="G7" s="11" t="inlineStr">
        <is>
          <t>—</t>
        </is>
      </c>
    </row>
    <row r="8">
      <c r="A8" s="11" t="inlineStr">
        <is>
          <t>Créateurs</t>
        </is>
      </c>
      <c r="B8" s="11" t="inlineStr">
        <is>
          <t>Recrutement et suivi des affiliés</t>
        </is>
      </c>
      <c r="C8" s="11" t="inlineStr">
        <is>
          <t>Intérêt légitime ; contrat</t>
        </is>
      </c>
      <c r="D8" s="11" t="inlineStr">
        <is>
          <t>Pseudo, contact, statistiques publiques, adresse d'envoi</t>
        </is>
      </c>
      <c r="E8" s="11" t="inlineStr">
        <is>
          <t>TikTok</t>
        </is>
      </c>
      <c r="F8" s="11" t="inlineStr">
        <is>
          <t>3 ans après la fin de la collaboration</t>
        </is>
      </c>
      <c r="G8" s="11" t="inlineStr">
        <is>
          <t>—</t>
        </is>
      </c>
    </row>
    <row r="9">
      <c r="A9" s="11" t="inlineStr">
        <is>
          <t>Réclamations GPSR</t>
        </is>
      </c>
      <c r="B9" s="11" t="inlineStr">
        <is>
          <t>Sécurité des produits</t>
        </is>
      </c>
      <c r="C9" s="11" t="inlineStr">
        <is>
          <t>Obligation légale</t>
        </is>
      </c>
      <c r="D9" s="11" t="inlineStr">
        <is>
          <t>Commande, description, photos</t>
        </is>
      </c>
      <c r="E9" s="11" t="inlineStr">
        <is>
          <t>Fabricant, autorités</t>
        </is>
      </c>
      <c r="F9" s="11" t="inlineStr">
        <is>
          <t>10 ans</t>
        </is>
      </c>
      <c r="G9" s="11" t="inlineStr">
        <is>
          <t>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  <col width="14" customWidth="1" min="9" max="9"/>
    <col width="12" customWidth="1" min="10" max="10"/>
    <col width="18" customWidth="1" min="11" max="11"/>
    <col width="12" customWidth="1" min="12" max="12"/>
    <col width="14" customWidth="1" min="13" max="13"/>
  </cols>
  <sheetData>
    <row r="1">
      <c r="A1" s="1" t="inlineStr">
        <is>
          <t>Suivi des créateurs (marketing/createurs-affiliation.md)</t>
        </is>
      </c>
    </row>
    <row r="3">
      <c r="A3" s="9" t="inlineStr">
        <is>
          <t>Pseudo</t>
        </is>
      </c>
      <c r="B3" s="9" t="inlineStr">
        <is>
          <t>Plateforme</t>
        </is>
      </c>
      <c r="C3" s="9" t="inlineStr">
        <is>
          <t>Abonnés</t>
        </is>
      </c>
      <c r="D3" s="9" t="inlineStr">
        <is>
          <t>Score (/100)</t>
        </is>
      </c>
      <c r="E3" s="9" t="inlineStr">
        <is>
          <t>Contacté le</t>
        </is>
      </c>
      <c r="F3" s="9" t="inlineStr">
        <is>
          <t>Modèle (M1-M5)</t>
        </is>
      </c>
      <c r="G3" s="9" t="inlineStr">
        <is>
          <t>Réponse</t>
        </is>
      </c>
      <c r="H3" s="9" t="inlineStr">
        <is>
          <t>Taux (%)</t>
        </is>
      </c>
      <c r="I3" s="9" t="inlineStr">
        <is>
          <t>Échantillon envoyé le</t>
        </is>
      </c>
      <c r="J3" s="9" t="inlineStr">
        <is>
          <t>Vidéos publiées</t>
        </is>
      </c>
      <c r="K3" s="9" t="inlineStr">
        <is>
          <t>Mention « Collaboration commerciale » vérifiée</t>
        </is>
      </c>
      <c r="L3" s="9" t="inlineStr">
        <is>
          <t>Commandes attribuées</t>
        </is>
      </c>
      <c r="M3" s="9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2026-10-12T09:59:00Z</dcterms:created>
  <dcterms:modified xmlns:dcterms="http://purl.org/dc/terms/" xmlns:xsi="http://www.w3.org/2001/XMLSchema-instance" xsi:type="dcterms:W3CDTF">2026-10-12T09:59:00Z</dcterms:modified>
</cp:coreProperties>
</file>