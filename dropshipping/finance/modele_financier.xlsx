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èses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Scénarios 18 mois" sheetId="3" state="visible" r:id="rId3"/>
    <sheet xmlns:r="http://schemas.openxmlformats.org/officeDocument/2006/relationships" name="Trésorerie" sheetId="4" state="visible" r:id="rId4"/>
    <sheet xmlns:r="http://schemas.openxmlformats.org/officeDocument/2006/relationships" name="Paliers" sheetId="5" state="visible" r:id="rId5"/>
    <sheet xmlns:r="http://schemas.openxmlformats.org/officeDocument/2006/relationships" name="Sensibilité" sheetId="6" state="visible" r:id="rId6"/>
  </sheets>
  <definedNames>
    <definedName name="h_TVA">'Hypothèses'!$C$6</definedName>
    <definedName name="h_IS_TAUX_REDUIT">'Hypothèses'!$C$7</definedName>
    <definedName name="h_IS_SEUIL">'Hypothèses'!$C$8</definedName>
    <definedName name="h_IS_TAUX_NORMAL">'Hypothèses'!$C$9</definedName>
    <definedName name="h_FRANCHISE_SEUIL">'Hypothèses'!$C$10</definedName>
    <definedName name="h_FRANCHISE_SEUIL_MAJORE">'Hypothèses'!$C$11</definedName>
    <definedName name="h_MICRO_COTIS">'Hypothèses'!$C$12</definedName>
    <definedName name="h_MICRO_VL">'Hypothèses'!$C$13</definedName>
    <definedName name="h_MICRO_PLAFOND">'Hypothèses'!$C$14</definedName>
    <definedName name="h_PFU">'Hypothèses'!$C$15</definedName>
    <definedName name="h_CHARGES_SASU">'Hypothèses'!$C$16</definedName>
    <definedName name="h_CHARGES_TNS">'Hypothèses'!$C$17</definedName>
    <definedName name="h_TNS_MINIMUM">'Hypothèses'!$C$18</definedName>
    <definedName name="h_SMIC_NET_H">'Hypothèses'!$C$19</definedName>
    <definedName name="h_HEURES_FONDATEUR">'Hypothèses'!$C$20</definedName>
    <definedName name="h_TAP_PRIX">'Hypothèses'!$C$22</definedName>
    <definedName name="h_TAP_PROD">'Hypothèses'!$C$23</definedName>
    <definedName name="h_TAP_DROITS">'Hypothèses'!$C$24</definedName>
    <definedName name="h_TAP_POIDS">'Hypothèses'!$C$25</definedName>
    <definedName name="h_RAC_PRIX">'Hypothèses'!$C$27</definedName>
    <definedName name="h_RAC_PROD">'Hypothèses'!$C$28</definedName>
    <definedName name="h_RAC_DROITS">'Hypothèses'!$C$29</definedName>
    <definedName name="h_RAC_POIDS">'Hypothèses'!$C$30</definedName>
    <definedName name="h_GAN_PRIX">'Hypothèses'!$C$32</definedName>
    <definedName name="h_GAN_PROD">'Hypothèses'!$C$33</definedName>
    <definedName name="h_GAN_DROITS">'Hypothèses'!$C$34</definedName>
    <definedName name="h_GAN_POIDS">'Hypothèses'!$C$35</definedName>
    <definedName name="h_ROU_PRIX">'Hypothèses'!$C$37</definedName>
    <definedName name="h_ROU_PROD">'Hypothèses'!$C$38</definedName>
    <definedName name="h_ROU_DROITS">'Hypothèses'!$C$39</definedName>
    <definedName name="h_ROU_POIDS">'Hypothèses'!$C$40</definedName>
    <definedName name="h_KAP_PRIX">'Hypothèses'!$C$42</definedName>
    <definedName name="h_GK_PRIX">'Hypothèses'!$C$43</definedName>
    <definedName name="h_DUO_PRIX">'Hypothèses'!$C$44</definedName>
    <definedName name="h_HIV_PRIX">'Hypothèses'!$C$45</definedName>
    <definedName name="h_PORT_CLIENT_TTC">'Hypothèses'!$C$47</definedName>
    <definedName name="h_SEUIL_GRATUIT">'Hypothèses'!$C$48</definedName>
    <definedName name="h_PORT_500">'Hypothèses'!$C$49</definedName>
    <definedName name="h_PORT_1KG">'Hypothèses'!$C$50</definedName>
    <definedName name="h_PORT_2KG">'Hypothèses'!$C$51</definedName>
    <definedName name="h_EMB_PETIT">'Hypothèses'!$C$52</definedName>
    <definedName name="h_EMB_GRAND">'Hypothèses'!$C$53</definedName>
    <definedName name="h_STRIPE_PCT">'Hypothèses'!$C$54</definedName>
    <definedName name="h_STRIPE_FIXE">'Hypothèses'!$C$55</definedName>
    <definedName name="h_STRIPE_LITIGE">'Hypothèses'!$C$56</definedName>
    <definedName name="h_PAYPAL_PCT">'Hypothèses'!$C$57</definedName>
    <definedName name="h_PAYPAL_FIXE">'Hypothèses'!$C$58</definedName>
    <definedName name="h_TTS_COMM">'Hypothèses'!$C$59</definedName>
    <definedName name="h_TTS_COMM_LANCEMENT">'Hypothèses'!$C$60</definedName>
    <definedName name="h_CREA_COMM">'Hypothèses'!$C$61</definedName>
    <definedName name="h_PROV_RETOURS">'Hypothèses'!$C$62</definedName>
    <definedName name="h_MIX_AFF">'Hypothèses'!$C$64</definedName>
    <definedName name="h_MIX_PROPRE">'Hypothèses'!$C$65</definedName>
    <definedName name="h_MIX_SITE">'Hypothèses'!$C$66</definedName>
    <definedName name="h_SITE_ROU">'Hypothèses'!$C$67</definedName>
    <definedName name="h_SITE_KAP">'Hypothèses'!$C$68</definedName>
    <definedName name="h_SITE_GK">'Hypothèses'!$C$69</definedName>
    <definedName name="h_SITE_DUO">'Hypothèses'!$C$70</definedName>
    <definedName name="h_TTS_ROU">'Hypothèses'!$C$71</definedName>
    <definedName name="h_TTS_KAP">'Hypothèses'!$C$72</definedName>
    <definedName name="h_IMP_ROU">'Hypothèses'!$C$74</definedName>
    <definedName name="h_IMP_GAN">'Hypothèses'!$C$75</definedName>
    <definedName name="h_IMP_RAC">'Hypothèses'!$C$76</definedName>
    <definedName name="h_IMP_TAP">'Hypothèses'!$C$77</definedName>
    <definedName name="h_TPL_PREP">'Hypothèses'!$C$78</definedName>
    <definedName name="h_IMP_FRAIS_MOIS">'Hypothèses'!$C$79</definedName>
    <definedName name="h_TPL_STOCKAGE">'Hypothèses'!$C$80</definedName>
    <definedName name="h_CPA_REALISTE">'Hypothèses'!$C$82</definedName>
    <definedName name="h_CPA_OPTIMISTE">'Hypothèses'!$C$83</definedName>
    <definedName name="h_MER_MARGE">'Hypothèses'!$C$84</definedName>
    <definedName name="h_COMPTABLE">'Hypothèses'!$C$86</definedName>
    <definedName name="h_COMPTABLE_P2">'Hypothèses'!$C$87</definedName>
    <definedName name="h_BANQUE">'Hypothèses'!$C$88</definedName>
    <definedName name="h_OUTILS">'Hypothèses'!$C$89</definedName>
    <definedName name="h_RC">'Hypothèses'!$C$90</definedName>
    <definedName name="h_DOMICILIATION">'Hypothèses'!$C$91</definedName>
    <definedName name="h_SHOPIFY_ESSAI">'Hypothèses'!$C$92</definedName>
    <definedName name="h_SHOPIFY_BASIC">'Hypothèses'!$C$93</definedName>
    <definedName name="h_SHOPIFY_GROW">'Hypothèses'!$C$94</definedName>
    <definedName name="h_SHOPIFY_GROW_SEUIL">'Hypothèses'!$C$95</definedName>
    <definedName name="h_APPS">'Hypothèses'!$C$96</definedName>
    <definedName name="h_ASSISTANT">'Hypothèses'!$C$97</definedName>
    <definedName name="h_MEDIA_BUYER">'Hypothèses'!$C$98</definedName>
    <definedName name="h_DOMAINE">'Hypothèses'!$C$99</definedName>
    <definedName name="h_ECHANT_FOURN">'Hypothèses'!$C$100</definedName>
    <definedName name="h_MEDIATEUR">'Hypothèses'!$C$101</definedName>
    <definedName name="h_LEKO">'Hypothèses'!$C$102</definedName>
    <definedName name="h_FOURNITURES">'Hypothèses'!$C$103</definedName>
    <definedName name="h_INPI">'Hypothèses'!$C$104</definedName>
    <definedName name="h_EUIPO">'Hypothèses'!$C$105</definedName>
    <definedName name="h_ECH_UNIT">'Hypothèses'!$C$106</definedName>
    <definedName name="h_TRESO_INITIALE">'Hypothèses'!$C$108</definedName>
    <definedName name="h_STRIPE_DELAI_INITIAL">'Hypothèses'!$C$109</definedName>
    <definedName name="h_STRIPE_DELAI">'Hypothèses'!$C$110</definedName>
    <definedName name="h_PAYPAL_RETENUE">'Hypothèses'!$C$111</definedName>
    <definedName name="h_TTS_LIVRAISON">'Hypothèses'!$C$112</definedName>
    <definedName name="h_TTS_DEBUTANT">'Hypothèses'!$C$113</definedName>
    <definedName name="h_TTS_STANDARD">'Hypothèses'!$C$114</definedName>
    <definedName name="h_TTS_ACCELERE">'Hypothèses'!$C$115</definedName>
    <definedName name="h_TTS_VIREMENT">'Hypothèses'!$C$116</definedName>
    <definedName name="h_TTS_DEBUTANT_MOIS">'Hypothèses'!$C$117</definedName>
    <definedName name="h_COUV_MICRO">'Hypothèses'!$C$118</definedName>
    <definedName name="h_COUV_IMPORT">'Hypothèses'!$C$119</definedName>
    <definedName name="h_P1_ECH">'Hypothèses'!$C$121</definedName>
    <definedName name="h_P2_PART_PUB">'Hypothèses'!$C$122</definedName>
    <definedName name="h_P2_FIXES_AUTRES">'Hypothèses'!$C$123</definedName>
    <definedName name="h_P2_PERSONNEL">'Hypothèses'!$C$124</definedName>
    <definedName name="h_P2_ECH">'Hypothèses'!$C$125</definedName>
    <definedName name="h_P3_MARGE">'Hypothèses'!$C$126</definedName>
    <definedName name="h_P3_PANIER">'Hypothèses'!$C$127</definedName>
    <definedName name="h_P3_PUB">'Hypothèses'!$C$128</definedName>
    <definedName name="h_P3_COGS">'Hypothèses'!$C$129</definedName>
    <definedName name="h_P4_MARGE">'Hypothèses'!$C$130</definedName>
    <definedName name="h_P4_PANIER">'Hypothèses'!$C$131</definedName>
    <definedName name="h_P4_PUB">'Hypothèses'!$C$132</definedName>
    <definedName name="h_P4_COGS">'Hypothèses'!$C$133</definedName>
    <definedName name="h_PART_MARKETPLACE">'Hypothèses'!$C$134</definedName>
    <definedName name="h_CREANCES_JOURS">'Hypothèses'!$C$135</definedName>
    <definedName name="h_DETTES_FOURN_PART">'Hypothèses'!$C$136</definedName>
    <definedName name="h_TVA_NETTE_RATIO">'Hypothèses'!$C$137</definedName>
    <definedName name="ue_SITE_TTC">'Unit economics'!$C$58</definedName>
    <definedName name="ue_SITE_HT">'Unit economics'!$C$59</definedName>
    <definedName name="ue_SITE_PAY">'Unit economics'!$C$60</definedName>
    <definedName name="ue_TTS_TTC">'Unit economics'!$C$61</definedName>
    <definedName name="ue_TTS_HT">'Unit economics'!$C$62</definedName>
    <definedName name="ue_PUB_TTC">'Unit economics'!$C$63</definedName>
    <definedName name="ue_PUB_HT">'Unit economics'!$C$64</definedName>
    <definedName name="ue_PUB_PAY">'Unit economics'!$C$65</definedName>
    <definedName name="ue_SITE_PROD_MS">'Unit economics'!$C$66</definedName>
    <definedName name="ue_SITE_LOG_MS">'Unit economics'!$C$67</definedName>
    <definedName name="ue_SITE_MARGE_MS">'Unit economics'!$C$68</definedName>
    <definedName name="ue_TTS_PROD_MS">'Unit economics'!$C$69</definedName>
    <definedName name="ue_TTS_LOG_MS">'Unit economics'!$C$70</definedName>
    <definedName name="ue_PROPRE_MARGE_MS">'Unit economics'!$C$71</definedName>
    <definedName name="ue_AFF_MARGE_MS">'Unit economics'!$C$72</definedName>
    <definedName name="ue_PUB_PROD_MS">'Unit economics'!$C$73</definedName>
    <definedName name="ue_PUB_LOG_MS">'Unit economics'!$C$74</definedName>
    <definedName name="ue_PUB_MARGE_AVANT_PUB_MS">'Unit economics'!$C$75</definedName>
    <definedName name="ue_MIX_MARGE_MS">'Unit economics'!$C$76</definedName>
    <definedName name="ue_MIX_PROD_MS">'Unit economics'!$C$77</definedName>
    <definedName name="ue_MIX_LOG_MS">'Unit economics'!$C$78</definedName>
    <definedName name="ue_SITE_PROD_IMP">'Unit economics'!$C$79</definedName>
    <definedName name="ue_SITE_LOG_IMP">'Unit economics'!$C$80</definedName>
    <definedName name="ue_SITE_MARGE_IMP">'Unit economics'!$C$81</definedName>
    <definedName name="ue_TTS_PROD_IMP">'Unit economics'!$C$82</definedName>
    <definedName name="ue_TTS_LOG_IMP">'Unit economics'!$C$83</definedName>
    <definedName name="ue_PROPRE_MARGE_IMP">'Unit economics'!$C$84</definedName>
    <definedName name="ue_AFF_MARGE_IMP">'Unit economics'!$C$85</definedName>
    <definedName name="ue_PUB_PROD_IMP">'Unit economics'!$C$86</definedName>
    <definedName name="ue_PUB_LOG_IMP">'Unit economics'!$C$87</definedName>
    <definedName name="ue_PUB_MARGE_AVANT_PUB_IMP">'Unit economics'!$C$88</definedName>
    <definedName name="ue_MIX_MARGE_IMP">'Unit economics'!$C$89</definedName>
    <definedName name="ue_MIX_PROD_IMP">'Unit economics'!$C$90</definedName>
    <definedName name="ue_MIX_LOG_IMP">'Unit economics'!$C$91</definedName>
    <definedName name="ue_MIX_TTC">'Unit economics'!$C$92</definedName>
    <definedName name="ue_MIX_HT">'Unit economics'!$C$93</definedName>
    <definedName name="ue_SITE_MARGE_FR">'Unit economics'!$C$94</definedName>
    <definedName name="ue_PROPRE_MARGE_FR">'Unit economics'!$C$95</definedName>
    <definedName name="ue_AFF_MARGE_FR">'Unit economics'!$C$96</definedName>
    <definedName name="ue_MIX_MARGE_FR">'Unit economics'!$C$97</definedName>
    <definedName name="ue_SITE_MARGE_MICRO">'Unit economics'!$C$98</definedName>
    <definedName name="ue_PROPRE_MARGE_MICRO">'Unit economics'!$C$99</definedName>
    <definedName name="ue_AFF_MARGE_MICRO">'Unit economics'!$C$100</definedName>
    <definedName name="ue_MIX_MARGE_MICRO">'Unit economics'!$C$101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0 &quot;€&quot;"/>
    <numFmt numFmtId="166" formatCode="#,##0 &quot;€&quot;;[Red]-#,##0 &quot;€&quot;"/>
    <numFmt numFmtId="167" formatCode="#,##0.00 &quot;€&quot;;[Red]-#,##0.00 &quot;€&quot;"/>
    <numFmt numFmtId="168" formatCode="#,##0.0"/>
  </numFmts>
  <fonts count="8">
    <font>
      <name val="Calibri"/>
      <family val="2"/>
      <color theme="1"/>
      <sz val="11"/>
      <scheme val="minor"/>
    </font>
    <font>
      <b val="1"/>
      <color rgb="002F4A3C"/>
      <sz val="14"/>
    </font>
    <font>
      <i val="1"/>
      <color rgb="006A5B50"/>
      <sz val="9"/>
    </font>
    <font>
      <b val="1"/>
      <color rgb="00FFFFFF"/>
    </font>
    <font>
      <b val="1"/>
    </font>
    <font>
      <color rgb="000000FF"/>
    </font>
    <font>
      <color rgb="007F6000"/>
    </font>
    <font/>
  </fonts>
  <fills count="5">
    <fill>
      <patternFill/>
    </fill>
    <fill>
      <patternFill patternType="gray125"/>
    </fill>
    <fill>
      <patternFill patternType="solid">
        <fgColor rgb="002F4A3C"/>
      </patternFill>
    </fill>
    <fill>
      <patternFill patternType="solid">
        <fgColor rgb="00F3E7D8"/>
      </patternFill>
    </fill>
    <fill>
      <patternFill patternType="solid">
        <fgColor rgb="00FBE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164" fontId="5" fillId="0" borderId="0" pivotButton="0" quotePrefix="0" xfId="0"/>
    <xf numFmtId="0" fontId="0" fillId="0" borderId="0" applyAlignment="1" pivotButton="0" quotePrefix="0" xfId="0">
      <alignment/>
    </xf>
    <xf numFmtId="165" fontId="5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64" fontId="0" fillId="0" borderId="0" pivotButton="0" quotePrefix="0" xfId="0"/>
    <xf numFmtId="1" fontId="5" fillId="0" borderId="0" pivotButton="0" quotePrefix="0" xfId="0"/>
    <xf numFmtId="166" fontId="5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6" fontId="6" fillId="0" borderId="0" pivotButton="0" quotePrefix="0" xfId="0"/>
    <xf numFmtId="167" fontId="4" fillId="0" borderId="0" pivotButton="0" quotePrefix="0" xfId="0"/>
    <xf numFmtId="168" fontId="0" fillId="0" borderId="0" pivotButton="0" quotePrefix="0" xfId="0"/>
    <xf numFmtId="0" fontId="7" fillId="0" borderId="0" pivotButton="0" quotePrefix="0" xfId="0"/>
    <xf numFmtId="168" fontId="4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6" fontId="0" fillId="0" borderId="0" pivotButton="0" quotePrefix="0" xfId="0"/>
    <xf numFmtId="166" fontId="4" fillId="0" borderId="0" pivotButton="0" quotePrefix="0" xfId="0"/>
    <xf numFmtId="166" fontId="4" fillId="4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8" customWidth="1" min="2" max="2"/>
    <col width="12" customWidth="1" min="3" max="3"/>
    <col width="18" customWidth="1" min="4" max="4"/>
    <col width="7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Canapoil — hypothèses du modèle financier</t>
        </is>
      </c>
    </row>
    <row r="2">
      <c r="A2" s="2" t="inlineStr">
        <is>
          <t>Toutes les valeurs en bleu sont des saisies ; chaque cellule de la colonne C porte un nom défini « h_NOM » utilisé par les autres onglets. Prix et coûts produits = brand.json.</t>
        </is>
      </c>
    </row>
    <row r="4">
      <c r="A4" s="3" t="inlineStr">
        <is>
          <t>Nom Excel</t>
        </is>
      </c>
      <c r="B4" s="3" t="inlineStr">
        <is>
          <t>Hypothèse</t>
        </is>
      </c>
      <c r="C4" s="3" t="inlineStr">
        <is>
          <t>Valeur</t>
        </is>
      </c>
      <c r="D4" s="3" t="inlineStr">
        <is>
          <t>Unité</t>
        </is>
      </c>
      <c r="E4" s="3" t="inlineStr">
        <is>
          <t>Source / confiance</t>
        </is>
      </c>
    </row>
    <row r="5">
      <c r="A5" s="4" t="inlineStr">
        <is>
          <t>Fiscalité</t>
        </is>
      </c>
      <c r="B5" s="5" t="n"/>
      <c r="C5" s="5" t="n"/>
      <c r="D5" s="5" t="n"/>
      <c r="E5" s="5" t="n"/>
    </row>
    <row r="6">
      <c r="A6" t="inlineStr">
        <is>
          <t>h_TVA</t>
        </is>
      </c>
      <c r="B6" t="inlineStr">
        <is>
          <t>Taux normal de TVA</t>
        </is>
      </c>
      <c r="C6" s="6" t="n">
        <v>0.2</v>
      </c>
      <c r="D6" t="inlineStr">
        <is>
          <t>%</t>
        </is>
      </c>
      <c r="E6" s="7" t="inlineStr">
        <is>
          <t>03 §3.1 ; https://entreprendre.service-public.gouv.fr/vosdroits/F21746 (vérifié le 01/01/2026)</t>
        </is>
      </c>
    </row>
    <row r="7">
      <c r="A7" t="inlineStr">
        <is>
          <t>h_IS_TAUX_REDUIT</t>
        </is>
      </c>
      <c r="B7" t="inlineStr">
        <is>
          <t>IS, taux réduit PME</t>
        </is>
      </c>
      <c r="C7" s="6" t="n">
        <v>0.15</v>
      </c>
      <c r="D7" t="inlineStr">
        <is>
          <t>%</t>
        </is>
      </c>
      <c r="E7" s="7" t="inlineStr">
        <is>
          <t>https://entreprendre.service-public.gouv.fr/vosdroits/F23575 ; LF 2026 inchangée : https://hayot-expertise.fr/blog/is-2026-taux-normal-taux-reduit-15-seuils</t>
        </is>
      </c>
    </row>
    <row r="8">
      <c r="A8" t="inlineStr">
        <is>
          <t>h_IS_SEUIL</t>
        </is>
      </c>
      <c r="B8" t="inlineStr">
        <is>
          <t>IS, plafond du bénéfice au taux réduit</t>
        </is>
      </c>
      <c r="C8" s="8" t="n">
        <v>42500</v>
      </c>
      <c r="D8" t="inlineStr">
        <is>
          <t>€ / exercice</t>
        </is>
      </c>
      <c r="E8" s="7" t="inlineStr">
        <is>
          <t>https://entreprendre.service-public.gouv.fr/vosdroits/F23575 ; LF 2026 inchangée : https://hayot-expertise.fr/blog/is-2026-taux-normal-taux-reduit-15-seuils</t>
        </is>
      </c>
    </row>
    <row r="9">
      <c r="A9" t="inlineStr">
        <is>
          <t>h_IS_TAUX_NORMAL</t>
        </is>
      </c>
      <c r="B9" t="inlineStr">
        <is>
          <t>IS, taux normal</t>
        </is>
      </c>
      <c r="C9" s="6" t="n">
        <v>0.25</v>
      </c>
      <c r="D9" t="inlineStr">
        <is>
          <t>%</t>
        </is>
      </c>
      <c r="E9" s="7" t="inlineStr">
        <is>
          <t>https://entreprendre.service-public.gouv.fr/vosdroits/F23575 ; LF 2026 inchangée : https://hayot-expertise.fr/blog/is-2026-taux-normal-taux-reduit-15-seuils</t>
        </is>
      </c>
    </row>
    <row r="10">
      <c r="A10" t="inlineStr">
        <is>
          <t>h_FRANCHISE_SEUIL</t>
        </is>
      </c>
      <c r="B10" t="inlineStr">
        <is>
          <t>Franchise en base de TVA : seuil (CA N-1, ventes)</t>
        </is>
      </c>
      <c r="C10" s="8" t="n">
        <v>85000</v>
      </c>
      <c r="D10" t="inlineStr">
        <is>
          <t>€ / an</t>
        </is>
      </c>
      <c r="E10" s="7" t="inlineStr">
        <is>
          <t>https://entreprendre.service-public.gouv.fr/vosdroits/F21746 (vérifié le 01/01/2026)</t>
        </is>
      </c>
    </row>
    <row r="11">
      <c r="A11" t="inlineStr">
        <is>
          <t>h_FRANCHISE_SEUIL_MAJORE</t>
        </is>
      </c>
      <c r="B11" t="inlineStr">
        <is>
          <t>Franchise en base de TVA : seuil majoré (année en cours)</t>
        </is>
      </c>
      <c r="C11" s="8" t="n">
        <v>93500</v>
      </c>
      <c r="D11" t="inlineStr">
        <is>
          <t>€ / an</t>
        </is>
      </c>
      <c r="E11" s="7" t="inlineStr">
        <is>
          <t>https://entreprendre.service-public.gouv.fr/vosdroits/F21746 (vérifié le 01/01/2026)</t>
        </is>
      </c>
    </row>
    <row r="12">
      <c r="A12" t="inlineStr">
        <is>
          <t>h_MICRO_COTIS</t>
        </is>
      </c>
      <c r="B12" t="inlineStr">
        <is>
          <t>Micro-entreprise : cotisations sociales (ventes)</t>
        </is>
      </c>
      <c r="C12" s="6" t="n">
        <v>0.123</v>
      </c>
      <c r="D12" t="inlineStr">
        <is>
          <t>% du CA</t>
        </is>
      </c>
      <c r="E12" s="7" t="inlineStr">
        <is>
          <t>https://entreprendre.service-public.gouv.fr/vosdroits/F32353 (03 §3.6)</t>
        </is>
      </c>
    </row>
    <row r="13">
      <c r="A13" t="inlineStr">
        <is>
          <t>h_MICRO_VL</t>
        </is>
      </c>
      <c r="B13" t="inlineStr">
        <is>
          <t>Micro-entreprise : versement libératoire (ventes)</t>
        </is>
      </c>
      <c r="C13" s="6" t="n">
        <v>0.01</v>
      </c>
      <c r="D13" t="inlineStr">
        <is>
          <t>% du CA</t>
        </is>
      </c>
      <c r="E13" s="7" t="inlineStr">
        <is>
          <t>https://entreprendre.service-public.gouv.fr/vosdroits/F32353 (03 §3.6)</t>
        </is>
      </c>
    </row>
    <row r="14">
      <c r="A14" t="inlineStr">
        <is>
          <t>h_MICRO_PLAFOND</t>
        </is>
      </c>
      <c r="B14" t="inlineStr">
        <is>
          <t>Micro-entreprise : plafond de CA (ventes)</t>
        </is>
      </c>
      <c r="C14" s="8" t="n">
        <v>203100</v>
      </c>
      <c r="D14" t="inlineStr">
        <is>
          <t>€ / an</t>
        </is>
      </c>
      <c r="E14" s="7" t="inlineStr">
        <is>
          <t>https://entreprendre.service-public.gouv.fr/vosdroits/F32353 (03 §3.6)</t>
        </is>
      </c>
    </row>
    <row r="15">
      <c r="A15" t="inlineStr">
        <is>
          <t>h_PFU</t>
        </is>
      </c>
      <c r="B15" t="inlineStr">
        <is>
          <t>Prélèvement forfaitaire unique sur dividendes 2026 (12,8 % + 18,6 %)</t>
        </is>
      </c>
      <c r="C15" s="6" t="n">
        <v>0.314</v>
      </c>
      <c r="D15" t="inlineStr">
        <is>
          <t>%</t>
        </is>
      </c>
      <c r="E15" s="7" t="inlineStr">
        <is>
          <t>https://www.lafinancepourtous.com/2025/12/17/csg-un-taux-a-double-vitesse-pour-2026/</t>
        </is>
      </c>
    </row>
    <row r="16">
      <c r="A16" t="inlineStr">
        <is>
          <t>h_CHARGES_SASU</t>
        </is>
      </c>
      <c r="B16" t="inlineStr">
        <is>
          <t>Président de SASU : cotisations / salaire net</t>
        </is>
      </c>
      <c r="C16" s="9" t="n">
        <v>0.8</v>
      </c>
      <c r="D16" t="inlineStr">
        <is>
          <t>ratio</t>
        </is>
      </c>
      <c r="E16" s="7" t="inlineStr">
        <is>
          <t>Fourchette 75-82 % : https://hayot-expertise.fr/blog/charges-sociales-sasu ; https://www.keobiz.fr/le-mag/sasu-charge-sociale/</t>
        </is>
      </c>
    </row>
    <row r="17">
      <c r="A17" t="inlineStr">
        <is>
          <t>h_CHARGES_TNS</t>
        </is>
      </c>
      <c r="B17" t="inlineStr">
        <is>
          <t>Gérant majoritaire d'EURL (TNS) : cotisations / rémunération nette</t>
        </is>
      </c>
      <c r="C17" s="9" t="n">
        <v>0.45</v>
      </c>
      <c r="D17" t="inlineStr">
        <is>
          <t>ratio</t>
        </is>
      </c>
      <c r="E17" s="7" t="inlineStr">
        <is>
          <t>Fourchette 33-45 % : https://hayot-expertise.fr/blog/charges-sociales-sasu ; https://www.keobiz.fr/le-mag/sasu-charge-sociale/</t>
        </is>
      </c>
    </row>
    <row r="18">
      <c r="A18" t="inlineStr">
        <is>
          <t>h_TNS_MINIMUM</t>
        </is>
      </c>
      <c r="B18" t="inlineStr">
        <is>
          <t>TNS : cotisations minimales dues sans rémunération</t>
        </is>
      </c>
      <c r="C18" s="8" t="n">
        <v>1423</v>
      </c>
      <c r="D18" t="inlineStr">
        <is>
          <t>€ / an</t>
        </is>
      </c>
      <c r="E18" s="7" t="inlineStr">
        <is>
          <t>https://www.lecoindesentrepreneurs.fr/cotisations-tns-minimales/ (montants 2026 divergents selon les sources : 1 058 à 1 423 €)</t>
        </is>
      </c>
    </row>
    <row r="19">
      <c r="A19" t="inlineStr">
        <is>
          <t>h_SMIC_NET_H</t>
        </is>
      </c>
      <c r="B19" t="inlineStr">
        <is>
          <t>SMIC horaire net (depuis le 1/06/2026)</t>
        </is>
      </c>
      <c r="C19" s="8" t="n">
        <v>9.74</v>
      </c>
      <c r="D19" t="inlineStr">
        <is>
          <t>€ / h</t>
        </is>
      </c>
      <c r="E19" s="7" t="inlineStr">
        <is>
          <t>https://www.info.gouv.fr/public/index.php/actualite/le-smic-revalorise-le-1er-juin-2026</t>
        </is>
      </c>
    </row>
    <row r="20">
      <c r="A20" t="inlineStr">
        <is>
          <t>h_HEURES_FONDATEUR</t>
        </is>
      </c>
      <c r="B20" t="inlineStr">
        <is>
          <t>Temps du fondateur</t>
        </is>
      </c>
      <c r="C20" s="9" t="n">
        <v>22.5</v>
      </c>
      <c r="D20" t="inlineStr">
        <is>
          <t>h / semaine</t>
        </is>
      </c>
      <c r="E20" s="7" t="inlineStr">
        <is>
          <t>04 §7 risque 8 : 20-25 h par semaine</t>
        </is>
      </c>
    </row>
    <row r="21">
      <c r="A21" s="4" t="inlineStr">
        <is>
          <t>Produit CNP-TAP-01 — Tapis de fenêtre thermique (brand.json)</t>
        </is>
      </c>
      <c r="B21" s="5" t="n"/>
      <c r="C21" s="5" t="n"/>
      <c r="D21" s="5" t="n"/>
      <c r="E21" s="5" t="n"/>
    </row>
    <row r="22">
      <c r="A22" t="inlineStr">
        <is>
          <t>h_TAP_PRIX</t>
        </is>
      </c>
      <c r="B22" t="inlineStr">
        <is>
          <t>Prix de vente</t>
        </is>
      </c>
      <c r="C22" s="8" t="n">
        <v>24.9</v>
      </c>
      <c r="D22" t="inlineStr">
        <is>
          <t>€ TTC</t>
        </is>
      </c>
      <c r="E22" s="7" t="inlineStr">
        <is>
          <t>strategie/brand.json (12/10/2026)</t>
        </is>
      </c>
    </row>
    <row r="23">
      <c r="A23" t="inlineStr">
        <is>
          <t>h_TAP_PROD</t>
        </is>
      </c>
      <c r="B23" t="inlineStr">
        <is>
          <t>Coût produit rendu France (produit + fret entrant)</t>
        </is>
      </c>
      <c r="C23" s="8" t="n">
        <v>5</v>
      </c>
      <c r="D23" t="inlineStr">
        <is>
          <t>€ HT</t>
        </is>
      </c>
      <c r="E23" s="7" t="inlineStr">
        <is>
          <t>strategie/brand.json (12/10/2026) cout_produit_ht</t>
        </is>
      </c>
    </row>
    <row r="24">
      <c r="A24" t="inlineStr">
        <is>
          <t>h_TAP_DROITS</t>
        </is>
      </c>
      <c r="B24" t="inlineStr">
        <is>
          <t>Droits et redevance répartis sur le lot</t>
        </is>
      </c>
      <c r="C24" s="8" t="n">
        <v>0.35</v>
      </c>
      <c r="D24" t="inlineStr">
        <is>
          <t>€ HT</t>
        </is>
      </c>
      <c r="E24" s="7" t="inlineStr">
        <is>
          <t>strategie/brand.json (12/10/2026) droits_douane_estimes</t>
        </is>
      </c>
    </row>
    <row r="25">
      <c r="A25" t="inlineStr">
        <is>
          <t>h_TAP_POIDS</t>
        </is>
      </c>
      <c r="B25" t="inlineStr">
        <is>
          <t>Poids</t>
        </is>
      </c>
      <c r="C25" s="9" t="n">
        <v>400</v>
      </c>
      <c r="D25" t="inlineStr">
        <is>
          <t>g</t>
        </is>
      </c>
      <c r="E25" s="7" t="inlineStr">
        <is>
          <t>strategie/brand.json (12/10/2026) poids_g</t>
        </is>
      </c>
    </row>
    <row r="26">
      <c r="A26" s="4" t="inlineStr">
        <is>
          <t>Produit CNP-RAC-01 — Raclette anti-poils (brand.json)</t>
        </is>
      </c>
      <c r="B26" s="5" t="n"/>
      <c r="C26" s="5" t="n"/>
      <c r="D26" s="5" t="n"/>
      <c r="E26" s="5" t="n"/>
    </row>
    <row r="27">
      <c r="A27" t="inlineStr">
        <is>
          <t>h_RAC_PRIX</t>
        </is>
      </c>
      <c r="B27" t="inlineStr">
        <is>
          <t>Prix de vente</t>
        </is>
      </c>
      <c r="C27" s="8" t="n">
        <v>12.9</v>
      </c>
      <c r="D27" t="inlineStr">
        <is>
          <t>€ TTC</t>
        </is>
      </c>
      <c r="E27" s="7" t="inlineStr">
        <is>
          <t>strategie/brand.json (12/10/2026)</t>
        </is>
      </c>
    </row>
    <row r="28">
      <c r="A28" t="inlineStr">
        <is>
          <t>h_RAC_PROD</t>
        </is>
      </c>
      <c r="B28" t="inlineStr">
        <is>
          <t>Coût produit rendu France (produit + fret entrant)</t>
        </is>
      </c>
      <c r="C28" s="8" t="n">
        <v>1.9</v>
      </c>
      <c r="D28" t="inlineStr">
        <is>
          <t>€ HT</t>
        </is>
      </c>
      <c r="E28" s="7" t="inlineStr">
        <is>
          <t>strategie/brand.json (12/10/2026) cout_produit_ht</t>
        </is>
      </c>
    </row>
    <row r="29">
      <c r="A29" t="inlineStr">
        <is>
          <t>h_RAC_DROITS</t>
        </is>
      </c>
      <c r="B29" t="inlineStr">
        <is>
          <t>Droits et redevance répartis sur le lot</t>
        </is>
      </c>
      <c r="C29" s="8" t="n">
        <v>0.15</v>
      </c>
      <c r="D29" t="inlineStr">
        <is>
          <t>€ HT</t>
        </is>
      </c>
      <c r="E29" s="7" t="inlineStr">
        <is>
          <t>strategie/brand.json (12/10/2026) droits_douane_estimes</t>
        </is>
      </c>
    </row>
    <row r="30">
      <c r="A30" t="inlineStr">
        <is>
          <t>h_RAC_POIDS</t>
        </is>
      </c>
      <c r="B30" t="inlineStr">
        <is>
          <t>Poids</t>
        </is>
      </c>
      <c r="C30" s="9" t="n">
        <v>150</v>
      </c>
      <c r="D30" t="inlineStr">
        <is>
          <t>g</t>
        </is>
      </c>
      <c r="E30" s="7" t="inlineStr">
        <is>
          <t>strategie/brand.json (12/10/2026) poids_g</t>
        </is>
      </c>
    </row>
    <row r="31">
      <c r="A31" s="4" t="inlineStr">
        <is>
          <t>Produit CNP-GAN-01 — Gant de toilettage (brand.json)</t>
        </is>
      </c>
      <c r="B31" s="5" t="n"/>
      <c r="C31" s="5" t="n"/>
      <c r="D31" s="5" t="n"/>
      <c r="E31" s="5" t="n"/>
    </row>
    <row r="32">
      <c r="A32" t="inlineStr">
        <is>
          <t>h_GAN_PRIX</t>
        </is>
      </c>
      <c r="B32" t="inlineStr">
        <is>
          <t>Prix de vente</t>
        </is>
      </c>
      <c r="C32" s="8" t="n">
        <v>9.9</v>
      </c>
      <c r="D32" t="inlineStr">
        <is>
          <t>€ TTC</t>
        </is>
      </c>
      <c r="E32" s="7" t="inlineStr">
        <is>
          <t>strategie/brand.json (12/10/2026)</t>
        </is>
      </c>
    </row>
    <row r="33">
      <c r="A33" t="inlineStr">
        <is>
          <t>h_GAN_PROD</t>
        </is>
      </c>
      <c r="B33" t="inlineStr">
        <is>
          <t>Coût produit rendu France (produit + fret entrant)</t>
        </is>
      </c>
      <c r="C33" s="8" t="n">
        <v>1.3</v>
      </c>
      <c r="D33" t="inlineStr">
        <is>
          <t>€ HT</t>
        </is>
      </c>
      <c r="E33" s="7" t="inlineStr">
        <is>
          <t>strategie/brand.json (12/10/2026) cout_produit_ht</t>
        </is>
      </c>
    </row>
    <row r="34">
      <c r="A34" t="inlineStr">
        <is>
          <t>h_GAN_DROITS</t>
        </is>
      </c>
      <c r="B34" t="inlineStr">
        <is>
          <t>Droits et redevance répartis sur le lot</t>
        </is>
      </c>
      <c r="C34" s="8" t="n">
        <v>0.1</v>
      </c>
      <c r="D34" t="inlineStr">
        <is>
          <t>€ HT</t>
        </is>
      </c>
      <c r="E34" s="7" t="inlineStr">
        <is>
          <t>strategie/brand.json (12/10/2026) droits_douane_estimes</t>
        </is>
      </c>
    </row>
    <row r="35">
      <c r="A35" t="inlineStr">
        <is>
          <t>h_GAN_POIDS</t>
        </is>
      </c>
      <c r="B35" t="inlineStr">
        <is>
          <t>Poids</t>
        </is>
      </c>
      <c r="C35" s="9" t="n">
        <v>70</v>
      </c>
      <c r="D35" t="inlineStr">
        <is>
          <t>g</t>
        </is>
      </c>
      <c r="E35" s="7" t="inlineStr">
        <is>
          <t>strategie/brand.json (12/10/2026) poids_g</t>
        </is>
      </c>
    </row>
    <row r="36">
      <c r="A36" s="4" t="inlineStr">
        <is>
          <t>Produit CNP-ROU-01 — Rouleau anti-poils (brand.json)</t>
        </is>
      </c>
      <c r="B36" s="5" t="n"/>
      <c r="C36" s="5" t="n"/>
      <c r="D36" s="5" t="n"/>
      <c r="E36" s="5" t="n"/>
    </row>
    <row r="37">
      <c r="A37" t="inlineStr">
        <is>
          <t>h_ROU_PRIX</t>
        </is>
      </c>
      <c r="B37" t="inlineStr">
        <is>
          <t>Prix de vente</t>
        </is>
      </c>
      <c r="C37" s="8" t="n">
        <v>24.9</v>
      </c>
      <c r="D37" t="inlineStr">
        <is>
          <t>€ TTC</t>
        </is>
      </c>
      <c r="E37" s="7" t="inlineStr">
        <is>
          <t>strategie/brand.json (12/10/2026)</t>
        </is>
      </c>
    </row>
    <row r="38">
      <c r="A38" t="inlineStr">
        <is>
          <t>h_ROU_PROD</t>
        </is>
      </c>
      <c r="B38" t="inlineStr">
        <is>
          <t>Coût produit rendu France (produit + fret entrant)</t>
        </is>
      </c>
      <c r="C38" s="8" t="n">
        <v>4.5</v>
      </c>
      <c r="D38" t="inlineStr">
        <is>
          <t>€ HT</t>
        </is>
      </c>
      <c r="E38" s="7" t="inlineStr">
        <is>
          <t>strategie/brand.json (12/10/2026) cout_produit_ht</t>
        </is>
      </c>
    </row>
    <row r="39">
      <c r="A39" t="inlineStr">
        <is>
          <t>h_ROU_DROITS</t>
        </is>
      </c>
      <c r="B39" t="inlineStr">
        <is>
          <t>Droits et redevance répartis sur le lot</t>
        </is>
      </c>
      <c r="C39" s="8" t="n">
        <v>0.25</v>
      </c>
      <c r="D39" t="inlineStr">
        <is>
          <t>€ HT</t>
        </is>
      </c>
      <c r="E39" s="7" t="inlineStr">
        <is>
          <t>strategie/brand.json (12/10/2026) droits_douane_estimes</t>
        </is>
      </c>
    </row>
    <row r="40">
      <c r="A40" t="inlineStr">
        <is>
          <t>h_ROU_POIDS</t>
        </is>
      </c>
      <c r="B40" t="inlineStr">
        <is>
          <t>Poids</t>
        </is>
      </c>
      <c r="C40" s="9" t="n">
        <v>280</v>
      </c>
      <c r="D40" t="inlineStr">
        <is>
          <t>g</t>
        </is>
      </c>
      <c r="E40" s="7" t="inlineStr">
        <is>
          <t>strategie/brand.json (12/10/2026) poids_g</t>
        </is>
      </c>
    </row>
    <row r="41">
      <c r="A41" s="4" t="inlineStr">
        <is>
          <t>Kits (brand.json)</t>
        </is>
      </c>
      <c r="B41" s="5" t="n"/>
      <c r="C41" s="5" t="n"/>
      <c r="D41" s="5" t="n"/>
      <c r="E41" s="5" t="n"/>
    </row>
    <row r="42">
      <c r="A42" t="inlineStr">
        <is>
          <t>h_KAP_PRIX</t>
        </is>
      </c>
      <c r="B42" t="inlineStr">
        <is>
          <t>Kit anti-poils : prix</t>
        </is>
      </c>
      <c r="C42" s="8" t="n">
        <v>29.9</v>
      </c>
      <c r="D42" t="inlineStr">
        <is>
          <t>€ TTC</t>
        </is>
      </c>
      <c r="E42" s="7" t="inlineStr">
        <is>
          <t>strategie/brand.json (12/10/2026) bundles</t>
        </is>
      </c>
    </row>
    <row r="43">
      <c r="A43" t="inlineStr">
        <is>
          <t>h_GK_PRIX</t>
        </is>
      </c>
      <c r="B43" t="inlineStr">
        <is>
          <t>Grand kit : prix</t>
        </is>
      </c>
      <c r="C43" s="8" t="n">
        <v>39.9</v>
      </c>
      <c r="D43" t="inlineStr">
        <is>
          <t>€ TTC</t>
        </is>
      </c>
      <c r="E43" s="7" t="inlineStr">
        <is>
          <t>strategie/brand.json (12/10/2026) bundles</t>
        </is>
      </c>
    </row>
    <row r="44">
      <c r="A44" t="inlineStr">
        <is>
          <t>h_DUO_PRIX</t>
        </is>
      </c>
      <c r="B44" t="inlineStr">
        <is>
          <t>Duo maison + voiture : prix</t>
        </is>
      </c>
      <c r="C44" s="8" t="n">
        <v>39.9</v>
      </c>
      <c r="D44" t="inlineStr">
        <is>
          <t>€ TTC</t>
        </is>
      </c>
      <c r="E44" s="7" t="inlineStr">
        <is>
          <t>strategie/brand.json (12/10/2026) bundles</t>
        </is>
      </c>
    </row>
    <row r="45">
      <c r="A45" t="inlineStr">
        <is>
          <t>h_HIV_PRIX</t>
        </is>
      </c>
      <c r="B45" t="inlineStr">
        <is>
          <t>Kit chat d'hiver : prix</t>
        </is>
      </c>
      <c r="C45" s="8" t="n">
        <v>44.9</v>
      </c>
      <c r="D45" t="inlineStr">
        <is>
          <t>€ TTC</t>
        </is>
      </c>
      <c r="E45" s="7" t="inlineStr">
        <is>
          <t>strategie/brand.json (12/10/2026) bundles</t>
        </is>
      </c>
    </row>
    <row r="46">
      <c r="A46" s="4" t="inlineStr">
        <is>
          <t>Livraison, paiement, plateformes</t>
        </is>
      </c>
      <c r="B46" s="5" t="n"/>
      <c r="C46" s="5" t="n"/>
      <c r="D46" s="5" t="n"/>
      <c r="E46" s="5" t="n"/>
    </row>
    <row r="47">
      <c r="A47" t="inlineStr">
        <is>
          <t>h_PORT_CLIENT_TTC</t>
        </is>
      </c>
      <c r="B47" t="inlineStr">
        <is>
          <t>Frais de port facturés au client sous le seuil</t>
        </is>
      </c>
      <c r="C47" s="8" t="n">
        <v>3.9</v>
      </c>
      <c r="D47" t="inlineStr">
        <is>
          <t>€ TTC</t>
        </is>
      </c>
      <c r="E47" s="7" t="inlineStr">
        <is>
          <t>strategie/brand.json (12/10/2026) livraison.frais_ttc</t>
        </is>
      </c>
    </row>
    <row r="48">
      <c r="A48" t="inlineStr">
        <is>
          <t>h_SEUIL_GRATUIT</t>
        </is>
      </c>
      <c r="B48" t="inlineStr">
        <is>
          <t>Seuil de livraison offerte</t>
        </is>
      </c>
      <c r="C48" s="8" t="n">
        <v>35</v>
      </c>
      <c r="D48" t="inlineStr">
        <is>
          <t>€ TTC</t>
        </is>
      </c>
      <c r="E48" s="7" t="inlineStr">
        <is>
          <t>strategie/brand.json (12/10/2026) livraison.seuil_gratuite_ttc</t>
        </is>
      </c>
    </row>
    <row r="49">
      <c r="A49" t="inlineStr">
        <is>
          <t>h_PORT_500</t>
        </is>
      </c>
      <c r="B49" t="inlineStr">
        <is>
          <t>Port point relais HT, jusqu'à 500 g</t>
        </is>
      </c>
      <c r="C49" s="8" t="n">
        <v>4.5</v>
      </c>
      <c r="D49" t="inlineStr">
        <is>
          <t>€ HT</t>
        </is>
      </c>
      <c r="E49" s="7" t="inlineStr">
        <is>
          <t>strategie/brand.json (12/10/2026) hypotheses_cles.port_ht</t>
        </is>
      </c>
    </row>
    <row r="50">
      <c r="A50" t="inlineStr">
        <is>
          <t>h_PORT_1KG</t>
        </is>
      </c>
      <c r="B50" t="inlineStr">
        <is>
          <t>Port point relais HT, 500 g à 1 kg</t>
        </is>
      </c>
      <c r="C50" s="8" t="n">
        <v>5.5</v>
      </c>
      <c r="D50" t="inlineStr">
        <is>
          <t>€ HT</t>
        </is>
      </c>
      <c r="E50" s="7" t="inlineStr">
        <is>
          <t>strategie/brand.json (12/10/2026) hypotheses_cles.port_ht</t>
        </is>
      </c>
    </row>
    <row r="51">
      <c r="A51" t="inlineStr">
        <is>
          <t>h_PORT_2KG</t>
        </is>
      </c>
      <c r="B51" t="inlineStr">
        <is>
          <t>Port point relais HT, 1 à 2 kg</t>
        </is>
      </c>
      <c r="C51" s="8" t="n">
        <v>7</v>
      </c>
      <c r="D51" t="inlineStr">
        <is>
          <t>€ HT</t>
        </is>
      </c>
      <c r="E51" s="7" t="inlineStr">
        <is>
          <t>strategie/brand.json (12/10/2026) hypotheses_cles.port_ht</t>
        </is>
      </c>
    </row>
    <row r="52">
      <c r="A52" t="inlineStr">
        <is>
          <t>h_EMB_PETIT</t>
        </is>
      </c>
      <c r="B52" t="inlineStr">
        <is>
          <t>Emballage, colis jusqu'à 500 g</t>
        </is>
      </c>
      <c r="C52" s="8" t="n">
        <v>0.3</v>
      </c>
      <c r="D52" t="inlineStr">
        <is>
          <t>€ HT</t>
        </is>
      </c>
      <c r="E52" s="7" t="inlineStr">
        <is>
          <t>strategie/brand.json (12/10/2026) cout_emballage_ht</t>
        </is>
      </c>
    </row>
    <row r="53">
      <c r="A53" t="inlineStr">
        <is>
          <t>h_EMB_GRAND</t>
        </is>
      </c>
      <c r="B53" t="inlineStr">
        <is>
          <t>Emballage, colis de plus de 500 g</t>
        </is>
      </c>
      <c r="C53" s="8" t="n">
        <v>0.4</v>
      </c>
      <c r="D53" t="inlineStr">
        <is>
          <t>€ HT</t>
        </is>
      </c>
      <c r="E53" s="7" t="inlineStr">
        <is>
          <t>04 §4.1 (0,30-0,40 €), estimation, confiance moyenne</t>
        </is>
      </c>
    </row>
    <row r="54">
      <c r="A54" t="inlineStr">
        <is>
          <t>h_STRIPE_PCT</t>
        </is>
      </c>
      <c r="B54" t="inlineStr">
        <is>
          <t>Stripe / Shopify Payments : part variable (carte standard EEE)</t>
        </is>
      </c>
      <c r="C54" s="6" t="n">
        <v>0.015</v>
      </c>
      <c r="D54" t="inlineStr">
        <is>
          <t>%</t>
        </is>
      </c>
      <c r="E54" s="7" t="inlineStr">
        <is>
          <t>https://stripe.com/fr/pricing</t>
        </is>
      </c>
    </row>
    <row r="55">
      <c r="A55" t="inlineStr">
        <is>
          <t>h_STRIPE_FIXE</t>
        </is>
      </c>
      <c r="B55" t="inlineStr">
        <is>
          <t>Stripe / Shopify Payments : part fixe</t>
        </is>
      </c>
      <c r="C55" s="8" t="n">
        <v>0.25</v>
      </c>
      <c r="D55" t="inlineStr">
        <is>
          <t>€</t>
        </is>
      </c>
      <c r="E55" s="7" t="inlineStr">
        <is>
          <t>https://stripe.com/fr/pricing</t>
        </is>
      </c>
    </row>
    <row r="56">
      <c r="A56" t="inlineStr">
        <is>
          <t>h_STRIPE_LITIGE</t>
        </is>
      </c>
      <c r="B56" t="inlineStr">
        <is>
          <t>Frais de litige Stripe</t>
        </is>
      </c>
      <c r="C56" s="8" t="n">
        <v>20</v>
      </c>
      <c r="D56" t="inlineStr">
        <is>
          <t>€ / litige</t>
        </is>
      </c>
      <c r="E56" s="7" t="inlineStr">
        <is>
          <t>https://stripe.com/fr/pricing</t>
        </is>
      </c>
    </row>
    <row r="57">
      <c r="A57" t="inlineStr">
        <is>
          <t>h_PAYPAL_PCT</t>
        </is>
      </c>
      <c r="B57" t="inlineStr">
        <is>
          <t>PayPal : part variable</t>
        </is>
      </c>
      <c r="C57" s="6" t="n">
        <v>0.029</v>
      </c>
      <c r="D57" t="inlineStr">
        <is>
          <t>%</t>
        </is>
      </c>
      <c r="E57" s="7" t="inlineStr">
        <is>
          <t>03 §4.1 [S26]</t>
        </is>
      </c>
    </row>
    <row r="58">
      <c r="A58" t="inlineStr">
        <is>
          <t>h_PAYPAL_FIXE</t>
        </is>
      </c>
      <c r="B58" t="inlineStr">
        <is>
          <t>PayPal : part fixe</t>
        </is>
      </c>
      <c r="C58" s="8" t="n">
        <v>0.35</v>
      </c>
      <c r="D58" t="inlineStr">
        <is>
          <t>€</t>
        </is>
      </c>
      <c r="E58" s="7" t="inlineStr">
        <is>
          <t>03 §4.1 [S26]</t>
        </is>
      </c>
    </row>
    <row r="59">
      <c r="A59" t="inlineStr">
        <is>
          <t>h_TTS_COMM</t>
        </is>
      </c>
      <c r="B59" t="inlineStr">
        <is>
          <t>Commission TikTok Shop (assiette TTC, port payé inclus)</t>
        </is>
      </c>
      <c r="C59" s="6" t="n">
        <v>0.09</v>
      </c>
      <c r="D59" t="inlineStr">
        <is>
          <t>% TTC</t>
        </is>
      </c>
      <c r="E59" s="7" t="inlineStr">
        <is>
          <t>https://www.ecommerce-nation.fr/tiktok-shop-les-commissions-doublent-janvier-2026/</t>
        </is>
      </c>
    </row>
    <row r="60">
      <c r="A60" t="inlineStr">
        <is>
          <t>h_TTS_COMM_LANCEMENT</t>
        </is>
      </c>
      <c r="B60" t="inlineStr">
        <is>
          <t>Commission TikTok Shop, 60 premiers jours (nouvelle boutique UE)</t>
        </is>
      </c>
      <c r="C60" s="6" t="n">
        <v>0.04</v>
      </c>
      <c r="D60" t="inlineStr">
        <is>
          <t>% TTC</t>
        </is>
      </c>
      <c r="E60" s="7" t="inlineStr">
        <is>
          <t>https://www.ecommerce-nation.fr/tiktok-shop-les-commissions-doublent-janvier-2026/</t>
        </is>
      </c>
    </row>
    <row r="61">
      <c r="A61" t="inlineStr">
        <is>
          <t>h_CREA_COMM</t>
        </is>
      </c>
      <c r="B61" t="inlineStr">
        <is>
          <t>Commission des créateurs affiliés</t>
        </is>
      </c>
      <c r="C61" s="6" t="n">
        <v>0.15</v>
      </c>
      <c r="D61" t="inlineStr">
        <is>
          <t>% TTC</t>
        </is>
      </c>
      <c r="E61" s="7" t="inlineStr">
        <is>
          <t>strategie/brand.json (12/10/2026) hypotheses_cles.commission_createurs</t>
        </is>
      </c>
    </row>
    <row r="62">
      <c r="A62" t="inlineStr">
        <is>
          <t>h_PROV_RETOURS</t>
        </is>
      </c>
      <c r="B62" t="inlineStr">
        <is>
          <t>Provision retours, SAV et litiges</t>
        </is>
      </c>
      <c r="C62" s="6" t="n">
        <v>0.05</v>
      </c>
      <c r="D62" t="inlineStr">
        <is>
          <t>% du CA HT</t>
        </is>
      </c>
      <c r="E62" s="7" t="inlineStr">
        <is>
          <t>strategie/brand.json (12/10/2026) hypotheses_cles.taux_retour ; 02 §4.1</t>
        </is>
      </c>
    </row>
    <row r="63">
      <c r="A63" s="4" t="inlineStr">
        <is>
          <t>Mix de ventes</t>
        </is>
      </c>
      <c r="B63" s="5" t="n"/>
      <c r="C63" s="5" t="n"/>
      <c r="D63" s="5" t="n"/>
      <c r="E63" s="5" t="n"/>
    </row>
    <row r="64">
      <c r="A64" t="inlineStr">
        <is>
          <t>h_MIX_AFF</t>
        </is>
      </c>
      <c r="B64" t="inlineStr">
        <is>
          <t>Part des commandes TikTok Shop par affiliés</t>
        </is>
      </c>
      <c r="C64" s="6" t="n">
        <v>0.58</v>
      </c>
      <c r="D64" t="inlineStr">
        <is>
          <t>%</t>
        </is>
      </c>
      <c r="E64" s="7" t="inlineStr">
        <is>
          <t>strategie/brand.json (12/10/2026) canaux.repartition_commandes_hypothese</t>
        </is>
      </c>
    </row>
    <row r="65">
      <c r="A65" t="inlineStr">
        <is>
          <t>h_MIX_PROPRE</t>
        </is>
      </c>
      <c r="B65" t="inlineStr">
        <is>
          <t>Part des commandes TikTok Shop en contenu propre</t>
        </is>
      </c>
      <c r="C65" s="6" t="n">
        <v>0.22</v>
      </c>
      <c r="D65" t="inlineStr">
        <is>
          <t>%</t>
        </is>
      </c>
      <c r="E65" s="7" t="inlineStr">
        <is>
          <t>strategie/brand.json (12/10/2026)</t>
        </is>
      </c>
    </row>
    <row r="66">
      <c r="A66" t="inlineStr">
        <is>
          <t>h_MIX_SITE</t>
        </is>
      </c>
      <c r="B66" t="inlineStr">
        <is>
          <t>Part des commandes du site</t>
        </is>
      </c>
      <c r="C66" s="6" t="n">
        <v>0.2</v>
      </c>
      <c r="D66" t="inlineStr">
        <is>
          <t>%</t>
        </is>
      </c>
      <c r="E66" s="7" t="inlineStr">
        <is>
          <t>strategie/brand.json (12/10/2026)</t>
        </is>
      </c>
    </row>
    <row r="67">
      <c r="A67" t="inlineStr">
        <is>
          <t>h_SITE_ROU</t>
        </is>
      </c>
      <c r="B67" t="inlineStr">
        <is>
          <t>Site : part Rouleau seul</t>
        </is>
      </c>
      <c r="C67" s="6" t="n">
        <v>0.35</v>
      </c>
      <c r="D67" t="inlineStr">
        <is>
          <t>%</t>
        </is>
      </c>
      <c r="E67" s="7" t="inlineStr">
        <is>
          <t>strategie/brand.json (12/10/2026) panier_moyen_ttc_note</t>
        </is>
      </c>
    </row>
    <row r="68">
      <c r="A68" t="inlineStr">
        <is>
          <t>h_SITE_KAP</t>
        </is>
      </c>
      <c r="B68" t="inlineStr">
        <is>
          <t>Site : part Kit anti-poils</t>
        </is>
      </c>
      <c r="C68" s="6" t="n">
        <v>0.2</v>
      </c>
      <c r="D68" t="inlineStr">
        <is>
          <t>%</t>
        </is>
      </c>
      <c r="E68" s="7" t="inlineStr">
        <is>
          <t>strategie/brand.json (12/10/2026)</t>
        </is>
      </c>
    </row>
    <row r="69">
      <c r="A69" t="inlineStr">
        <is>
          <t>h_SITE_GK</t>
        </is>
      </c>
      <c r="B69" t="inlineStr">
        <is>
          <t>Site : part Grand kit</t>
        </is>
      </c>
      <c r="C69" s="6" t="n">
        <v>0.3</v>
      </c>
      <c r="D69" t="inlineStr">
        <is>
          <t>%</t>
        </is>
      </c>
      <c r="E69" s="7" t="inlineStr">
        <is>
          <t>strategie/brand.json (12/10/2026)</t>
        </is>
      </c>
    </row>
    <row r="70">
      <c r="A70" t="inlineStr">
        <is>
          <t>h_SITE_DUO</t>
        </is>
      </c>
      <c r="B70" t="inlineStr">
        <is>
          <t>Site : part Duo</t>
        </is>
      </c>
      <c r="C70" s="6" t="n">
        <v>0.15</v>
      </c>
      <c r="D70" t="inlineStr">
        <is>
          <t>%</t>
        </is>
      </c>
      <c r="E70" s="7" t="inlineStr">
        <is>
          <t>strategie/brand.json (12/10/2026)</t>
        </is>
      </c>
    </row>
    <row r="71">
      <c r="A71" t="inlineStr">
        <is>
          <t>h_TTS_ROU</t>
        </is>
      </c>
      <c r="B71" t="inlineStr">
        <is>
          <t>TikTok Shop : part Rouleau seul</t>
        </is>
      </c>
      <c r="C71" s="6" t="n">
        <v>0.7</v>
      </c>
      <c r="D71" t="inlineStr">
        <is>
          <t>%</t>
        </is>
      </c>
      <c r="E71" s="7" t="inlineStr">
        <is>
          <t>Estimation finance, confiance faible : seule répartition qui redonne la marge moyenne de 7,55 € de brand.json</t>
        </is>
      </c>
    </row>
    <row r="72">
      <c r="A72" t="inlineStr">
        <is>
          <t>h_TTS_KAP</t>
        </is>
      </c>
      <c r="B72" t="inlineStr">
        <is>
          <t>TikTok Shop : part Kit anti-poils</t>
        </is>
      </c>
      <c r="C72" s="6" t="n">
        <v>0.3</v>
      </c>
      <c r="D72" t="inlineStr">
        <is>
          <t>%</t>
        </is>
      </c>
      <c r="E72" s="7" t="inlineStr">
        <is>
          <t>Idem</t>
        </is>
      </c>
    </row>
    <row r="73">
      <c r="A73" s="4" t="inlineStr">
        <is>
          <t>Phase import groupé + 3PL (palier 2)</t>
        </is>
      </c>
      <c r="B73" s="5" t="n"/>
      <c r="C73" s="5" t="n"/>
      <c r="D73" s="5" t="n"/>
      <c r="E73" s="5" t="n"/>
    </row>
    <row r="74">
      <c r="A74" t="inlineStr">
        <is>
          <t>h_IMP_ROU</t>
        </is>
      </c>
      <c r="B74" t="inlineStr">
        <is>
          <t>Rouleau : coût rendu entrepôt, droits inclus</t>
        </is>
      </c>
      <c r="C74" s="8" t="n">
        <v>2</v>
      </c>
      <c r="D74" t="inlineStr">
        <is>
          <t>€ HT</t>
        </is>
      </c>
      <c r="E74" s="7" t="inlineStr">
        <is>
          <t>Estimation finance, confiance faible, calée sur 04 §6.4 (Grand kit ≈ 3,80 €)</t>
        </is>
      </c>
    </row>
    <row r="75">
      <c r="A75" t="inlineStr">
        <is>
          <t>h_IMP_GAN</t>
        </is>
      </c>
      <c r="B75" t="inlineStr">
        <is>
          <t>Gant : coût rendu entrepôt, droits inclus</t>
        </is>
      </c>
      <c r="C75" s="8" t="n">
        <v>0.65</v>
      </c>
      <c r="D75" t="inlineStr">
        <is>
          <t>€ HT</t>
        </is>
      </c>
      <c r="E75" s="7" t="inlineStr">
        <is>
          <t>Idem</t>
        </is>
      </c>
    </row>
    <row r="76">
      <c r="A76" t="inlineStr">
        <is>
          <t>h_IMP_RAC</t>
        </is>
      </c>
      <c r="B76" t="inlineStr">
        <is>
          <t>Raclette : coût rendu entrepôt, droits inclus</t>
        </is>
      </c>
      <c r="C76" s="8" t="n">
        <v>1.15</v>
      </c>
      <c r="D76" t="inlineStr">
        <is>
          <t>€ HT</t>
        </is>
      </c>
      <c r="E76" s="7" t="inlineStr">
        <is>
          <t>Idem</t>
        </is>
      </c>
    </row>
    <row r="77">
      <c r="A77" t="inlineStr">
        <is>
          <t>h_IMP_TAP</t>
        </is>
      </c>
      <c r="B77" t="inlineStr">
        <is>
          <t>Tapis thermique : coût rendu entrepôt, droits inclus</t>
        </is>
      </c>
      <c r="C77" s="8" t="n">
        <v>2.6</v>
      </c>
      <c r="D77" t="inlineStr">
        <is>
          <t>€ HT</t>
        </is>
      </c>
      <c r="E77" s="7" t="inlineStr">
        <is>
          <t>Idem</t>
        </is>
      </c>
    </row>
    <row r="78">
      <c r="A78" t="inlineStr">
        <is>
          <t>h_TPL_PREP</t>
        </is>
      </c>
      <c r="B78" t="inlineStr">
        <is>
          <t>3PL : préparation par colis (emballage inclus)</t>
        </is>
      </c>
      <c r="C78" s="8" t="n">
        <v>2.4</v>
      </c>
      <c r="D78" t="inlineStr">
        <is>
          <t>€ HT</t>
        </is>
      </c>
      <c r="E78" s="7" t="inlineStr">
        <is>
          <t>03 §5.1 [S52], source faible</t>
        </is>
      </c>
    </row>
    <row r="79">
      <c r="A79" t="inlineStr">
        <is>
          <t>h_IMP_FRAIS_MOIS</t>
        </is>
      </c>
      <c r="B79" t="inlineStr">
        <is>
          <t>Import : transitaire, inspection AQL, agent (lissés)</t>
        </is>
      </c>
      <c r="C79" s="8" t="n">
        <v>160</v>
      </c>
      <c r="D79" t="inlineStr">
        <is>
          <t>€ / mois</t>
        </is>
      </c>
      <c r="E79" s="7" t="inlineStr">
        <is>
          <t>03 §3.5 et §5.2 : ≈ 400 € par lot tous les 2,5 mois, estimation</t>
        </is>
      </c>
    </row>
    <row r="80">
      <c r="A80" t="inlineStr">
        <is>
          <t>h_TPL_STOCKAGE</t>
        </is>
      </c>
      <c r="B80" t="inlineStr">
        <is>
          <t>3PL : stockage</t>
        </is>
      </c>
      <c r="C80" s="8" t="n">
        <v>50</v>
      </c>
      <c r="D80" t="inlineStr">
        <is>
          <t>€ / mois</t>
        </is>
      </c>
      <c r="E80" s="7" t="inlineStr">
        <is>
          <t>03 §5.1 : 10-25 € par palette, estimation</t>
        </is>
      </c>
    </row>
    <row r="81">
      <c r="A81" s="4" t="inlineStr">
        <is>
          <t>Publicité</t>
        </is>
      </c>
      <c r="B81" s="5" t="n"/>
      <c r="C81" s="5" t="n"/>
      <c r="D81" s="5" t="n"/>
      <c r="E81" s="5" t="n"/>
    </row>
    <row r="82">
      <c r="A82" t="inlineStr">
        <is>
          <t>h_CPA_REALISTE</t>
        </is>
      </c>
      <c r="B82" t="inlineStr">
        <is>
          <t>CPA scénario réaliste (Grand kit, Meta)</t>
        </is>
      </c>
      <c r="C82" s="8" t="n">
        <v>21</v>
      </c>
      <c r="D82" t="inlineStr">
        <is>
          <t>€</t>
        </is>
      </c>
      <c r="E82" s="7" t="inlineStr">
        <is>
          <t>Entre favorable (10,67 €) et central (30 €) de 02 §5.3 D ; estimation, confiance faible</t>
        </is>
      </c>
    </row>
    <row r="83">
      <c r="A83" t="inlineStr">
        <is>
          <t>h_CPA_OPTIMISTE</t>
        </is>
      </c>
      <c r="B83" t="inlineStr">
        <is>
          <t>CPA scénario optimiste</t>
        </is>
      </c>
      <c r="C83" s="8" t="n">
        <v>14</v>
      </c>
      <c r="D83" t="inlineStr">
        <is>
          <t>€</t>
        </is>
      </c>
      <c r="E83" s="7" t="inlineStr">
        <is>
          <t>Idem, créatives du premier quartile</t>
        </is>
      </c>
    </row>
    <row r="84">
      <c r="A84" t="inlineStr">
        <is>
          <t>h_MER_MARGE</t>
        </is>
      </c>
      <c r="B84" t="inlineStr">
        <is>
          <t>Marge de sécurité exigée sur le MER de rentabilité</t>
        </is>
      </c>
      <c r="C84" s="9" t="n">
        <v>1.2</v>
      </c>
      <c r="D84" t="inlineStr">
        <is>
          <t>×</t>
        </is>
      </c>
      <c r="E84" s="7" t="inlineStr">
        <is>
          <t>02 §5.2</t>
        </is>
      </c>
    </row>
    <row r="85">
      <c r="A85" s="4" t="inlineStr">
        <is>
          <t>Frais fixes et ponctuels</t>
        </is>
      </c>
      <c r="B85" s="5" t="n"/>
      <c r="C85" s="5" t="n"/>
      <c r="D85" s="5" t="n"/>
      <c r="E85" s="5" t="n"/>
    </row>
    <row r="86">
      <c r="A86" t="inlineStr">
        <is>
          <t>h_COMPTABLE</t>
        </is>
      </c>
      <c r="B86" t="inlineStr">
        <is>
          <t>Expert-comptable en ligne, société à l'IS (lancement)</t>
        </is>
      </c>
      <c r="C86" s="8" t="n">
        <v>90</v>
      </c>
      <c r="D86" t="inlineStr">
        <is>
          <t>€ / mois</t>
        </is>
      </c>
      <c r="E86" s="7" t="inlineStr">
        <is>
          <t>03 §0.4 : 1 000-2 500 € par an ; bas de fourchette</t>
        </is>
      </c>
    </row>
    <row r="87">
      <c r="A87" t="inlineStr">
        <is>
          <t>h_COMPTABLE_P2</t>
        </is>
      </c>
      <c r="B87" t="inlineStr">
        <is>
          <t>Expert-comptable, phase import et publicité</t>
        </is>
      </c>
      <c r="C87" s="8" t="n">
        <v>200</v>
      </c>
      <c r="D87" t="inlineStr">
        <is>
          <t>€ / mois</t>
        </is>
      </c>
      <c r="E87" s="7" t="inlineStr">
        <is>
          <t>Estimation, confiance moyenne</t>
        </is>
      </c>
    </row>
    <row r="88">
      <c r="A88" t="inlineStr">
        <is>
          <t>h_BANQUE</t>
        </is>
      </c>
      <c r="B88" t="inlineStr">
        <is>
          <t>Compte bancaire professionnel</t>
        </is>
      </c>
      <c r="C88" s="8" t="n">
        <v>10</v>
      </c>
      <c r="D88" t="inlineStr">
        <is>
          <t>€ / mois</t>
        </is>
      </c>
      <c r="E88" s="7" t="inlineStr">
        <is>
          <t>Estimation</t>
        </is>
      </c>
    </row>
    <row r="89">
      <c r="A89" t="inlineStr">
        <is>
          <t>h_OUTILS</t>
        </is>
      </c>
      <c r="B89" t="inlineStr">
        <is>
          <t>Plateforme de facturation électronique, outils</t>
        </is>
      </c>
      <c r="C89" s="8" t="n">
        <v>10</v>
      </c>
      <c r="D89" t="inlineStr">
        <is>
          <t>€ / mois</t>
        </is>
      </c>
      <c r="E89" s="7" t="inlineStr">
        <is>
          <t>03 §0.5 : 0-15 € par mois</t>
        </is>
      </c>
    </row>
    <row r="90">
      <c r="A90" t="inlineStr">
        <is>
          <t>h_RC</t>
        </is>
      </c>
      <c r="B90" t="inlineStr">
        <is>
          <t>Assurance RC professionnelle et produits</t>
        </is>
      </c>
      <c r="C90" s="8" t="n">
        <v>25</v>
      </c>
      <c r="D90" t="inlineStr">
        <is>
          <t>€ / mois</t>
        </is>
      </c>
      <c r="E90" s="7" t="inlineStr">
        <is>
          <t>03 §0.5 : 150-500 € par an</t>
        </is>
      </c>
    </row>
    <row r="91">
      <c r="A91" t="inlineStr">
        <is>
          <t>h_DOMICILIATION</t>
        </is>
      </c>
      <c r="B91" t="inlineStr">
        <is>
          <t>Domiciliation avec réception de colis (dès 150 commandes / mois)</t>
        </is>
      </c>
      <c r="C91" s="8" t="n">
        <v>25</v>
      </c>
      <c r="D91" t="inlineStr">
        <is>
          <t>€ / mois</t>
        </is>
      </c>
      <c r="E91" s="7" t="inlineStr">
        <is>
          <t>03 §5.5 : 15-40 € par mois</t>
        </is>
      </c>
    </row>
    <row r="92">
      <c r="A92" t="inlineStr">
        <is>
          <t>h_SHOPIFY_ESSAI</t>
        </is>
      </c>
      <c r="B92" t="inlineStr">
        <is>
          <t>Shopify, 3 premiers mois (1 $)</t>
        </is>
      </c>
      <c r="C92" s="8" t="n">
        <v>0.86</v>
      </c>
      <c r="D92" t="inlineStr">
        <is>
          <t>€ / mois</t>
        </is>
      </c>
      <c r="E92" s="7" t="inlineStr">
        <is>
          <t>https://speed-ecom.eu/blog/combien-coute-reellement-shopify/</t>
        </is>
      </c>
    </row>
    <row r="93">
      <c r="A93" t="inlineStr">
        <is>
          <t>h_SHOPIFY_BASIC</t>
        </is>
      </c>
      <c r="B93" t="inlineStr">
        <is>
          <t>Shopify Basic</t>
        </is>
      </c>
      <c r="C93" s="8" t="n">
        <v>36</v>
      </c>
      <c r="D93" t="inlineStr">
        <is>
          <t>€ / mois</t>
        </is>
      </c>
      <c r="E93" s="7" t="inlineStr">
        <is>
          <t>https://speed-ecom.eu/blog/combien-coute-reellement-shopify/</t>
        </is>
      </c>
    </row>
    <row r="94">
      <c r="A94" t="inlineStr">
        <is>
          <t>h_SHOPIFY_GROW</t>
        </is>
      </c>
      <c r="B94" t="inlineStr">
        <is>
          <t>Shopify Grow</t>
        </is>
      </c>
      <c r="C94" s="8" t="n">
        <v>105</v>
      </c>
      <c r="D94" t="inlineStr">
        <is>
          <t>€ / mois</t>
        </is>
      </c>
      <c r="E94" s="7" t="inlineStr">
        <is>
          <t>04 §5.2</t>
        </is>
      </c>
    </row>
    <row r="95">
      <c r="A95" t="inlineStr">
        <is>
          <t>h_SHOPIFY_GROW_SEUIL</t>
        </is>
      </c>
      <c r="B95" t="inlineStr">
        <is>
          <t>CA HT mensuel à partir duquel Grow est retenu</t>
        </is>
      </c>
      <c r="C95" s="8" t="n">
        <v>34500</v>
      </c>
      <c r="D95" t="inlineStr">
        <is>
          <t>€</t>
        </is>
      </c>
      <c r="E95" s="7" t="inlineStr">
        <is>
          <t>04 §5.2</t>
        </is>
      </c>
    </row>
    <row r="96">
      <c r="A96" t="inlineStr">
        <is>
          <t>h_APPS</t>
        </is>
      </c>
      <c r="B96" t="inlineStr">
        <is>
          <t>Applications Shopify (avis, e-mail)</t>
        </is>
      </c>
      <c r="C96" s="8" t="n">
        <v>50</v>
      </c>
      <c r="D96" t="inlineStr">
        <is>
          <t>€ / mois</t>
        </is>
      </c>
      <c r="E96" s="7" t="inlineStr">
        <is>
          <t>Estimation</t>
        </is>
      </c>
    </row>
    <row r="97">
      <c r="A97" t="inlineStr">
        <is>
          <t>h_ASSISTANT</t>
        </is>
      </c>
      <c r="B97" t="inlineStr">
        <is>
          <t>Assistant SAV à mi-temps, coût employeur (dès 1 000 commandes / mois)</t>
        </is>
      </c>
      <c r="C97" s="8" t="n">
        <v>1300</v>
      </c>
      <c r="D97" t="inlineStr">
        <is>
          <t>€ / mois</t>
        </is>
      </c>
      <c r="E97" s="7" t="inlineStr">
        <is>
          <t>Estimation, confiance moyenne</t>
        </is>
      </c>
    </row>
    <row r="98">
      <c r="A98" t="inlineStr">
        <is>
          <t>h_MEDIA_BUYER</t>
        </is>
      </c>
      <c r="B98" t="inlineStr">
        <is>
          <t>Media buyer indépendant (dès 3 000 € de publicité / mois)</t>
        </is>
      </c>
      <c r="C98" s="8" t="n">
        <v>1000</v>
      </c>
      <c r="D98" t="inlineStr">
        <is>
          <t>€ / mois</t>
        </is>
      </c>
      <c r="E98" s="7" t="inlineStr">
        <is>
          <t>Estimation, confiance faible</t>
        </is>
      </c>
    </row>
    <row r="99">
      <c r="A99" t="inlineStr">
        <is>
          <t>h_DOMAINE</t>
        </is>
      </c>
      <c r="B99" t="inlineStr">
        <is>
          <t>Domaine canapoil.fr</t>
        </is>
      </c>
      <c r="C99" s="8" t="n">
        <v>10</v>
      </c>
      <c r="D99" t="inlineStr">
        <is>
          <t>€ / an</t>
        </is>
      </c>
      <c r="E99" s="7" t="inlineStr">
        <is>
          <t>04 §5.3</t>
        </is>
      </c>
    </row>
    <row r="100">
      <c r="A100" t="inlineStr">
        <is>
          <t>h_ECHANT_FOURN</t>
        </is>
      </c>
      <c r="B100" t="inlineStr">
        <is>
          <t>Échantillons fournisseurs (mois 1)</t>
        </is>
      </c>
      <c r="C100" s="8" t="n">
        <v>35</v>
      </c>
      <c r="D100" t="inlineStr">
        <is>
          <t>€</t>
        </is>
      </c>
      <c r="E100" s="7" t="inlineStr">
        <is>
          <t>04 §5.3</t>
        </is>
      </c>
    </row>
    <row r="101">
      <c r="A101" t="inlineStr">
        <is>
          <t>h_MEDIATEUR</t>
        </is>
      </c>
      <c r="B101" t="inlineStr">
        <is>
          <t>Médiateur CM2C (3 ans)</t>
        </is>
      </c>
      <c r="C101" s="8" t="n">
        <v>48</v>
      </c>
      <c r="D101" t="inlineStr">
        <is>
          <t>€</t>
        </is>
      </c>
      <c r="E101" s="7" t="inlineStr">
        <is>
          <t>https://www.cm2c.net/tarifs.php</t>
        </is>
      </c>
    </row>
    <row r="102">
      <c r="A102" t="inlineStr">
        <is>
          <t>h_LEKO</t>
        </is>
      </c>
      <c r="B102" t="inlineStr">
        <is>
          <t>Adhésion Léko, minimum annuel</t>
        </is>
      </c>
      <c r="C102" s="8" t="n">
        <v>95</v>
      </c>
      <c r="D102" t="inlineStr">
        <is>
          <t>€ HT / an</t>
        </is>
      </c>
      <c r="E102" s="7" t="inlineStr">
        <is>
          <t>https://www.leko-organisme.fr/wp-content/uploads/Bareme-Leko-Emballage-et-Papiers-2026-14.11.2025.pdf</t>
        </is>
      </c>
    </row>
    <row r="103">
      <c r="A103" t="inlineStr">
        <is>
          <t>h_FOURNITURES</t>
        </is>
      </c>
      <c r="B103" t="inlineStr">
        <is>
          <t>Fournitures de lancement</t>
        </is>
      </c>
      <c r="C103" s="8" t="n">
        <v>12</v>
      </c>
      <c r="D103" t="inlineStr">
        <is>
          <t>€</t>
        </is>
      </c>
      <c r="E103" s="7" t="inlineStr">
        <is>
          <t>04 §5.3</t>
        </is>
      </c>
    </row>
    <row r="104">
      <c r="A104" t="inlineStr">
        <is>
          <t>h_INPI</t>
        </is>
      </c>
      <c r="B104" t="inlineStr">
        <is>
          <t>Dépôt INPI 3 classes (porte 2, ≥ 90 commandes / mois)</t>
        </is>
      </c>
      <c r="C104" s="8" t="n">
        <v>270</v>
      </c>
      <c r="D104" t="inlineStr">
        <is>
          <t>€</t>
        </is>
      </c>
      <c r="E104" s="7" t="inlineStr">
        <is>
          <t>https://www.inpi.fr/inpi-block/download-document?id=20516</t>
        </is>
      </c>
    </row>
    <row r="105">
      <c r="A105" t="inlineStr">
        <is>
          <t>h_EUIPO</t>
        </is>
      </c>
      <c r="B105" t="inlineStr">
        <is>
          <t>Marque de l'Union européenne, 2 classes (import groupé)</t>
        </is>
      </c>
      <c r="C105" s="8" t="n">
        <v>900</v>
      </c>
      <c r="D105" t="inlineStr">
        <is>
          <t>€</t>
        </is>
      </c>
      <c r="E105" s="7" t="inlineStr">
        <is>
          <t>https://www.euipo.europa.eu/en/trade-marks/before-applying/fees-payable-direct-filing</t>
        </is>
      </c>
    </row>
    <row r="106">
      <c r="A106" t="inlineStr">
        <is>
          <t>h_ECH_UNIT</t>
        </is>
      </c>
      <c r="B106" t="inlineStr">
        <is>
          <t>Coût d'un échantillon envoyé à un créateur</t>
        </is>
      </c>
      <c r="C106" s="8" t="n">
        <v>12</v>
      </c>
      <c r="D106" t="inlineStr">
        <is>
          <t>€</t>
        </is>
      </c>
      <c r="E106" s="7" t="inlineStr">
        <is>
          <t>02 §3.6, central</t>
        </is>
      </c>
    </row>
    <row r="107">
      <c r="A107" s="4" t="inlineStr">
        <is>
          <t>Trésorerie</t>
        </is>
      </c>
      <c r="B107" s="5" t="n"/>
      <c r="C107" s="5" t="n"/>
      <c r="D107" s="5" t="n"/>
      <c r="E107" s="5" t="n"/>
    </row>
    <row r="108">
      <c r="A108" t="inlineStr">
        <is>
          <t>h_TRESO_INITIALE</t>
        </is>
      </c>
      <c r="B108" t="inlineStr">
        <is>
          <t>Trésorerie de départ affectée au projet</t>
        </is>
      </c>
      <c r="C108" s="8" t="n">
        <v>0</v>
      </c>
      <c r="D108" t="inlineStr">
        <is>
          <t>€</t>
        </is>
      </c>
      <c r="E108" s="7" t="inlineStr">
        <is>
          <t>Hypothèse « 0 € » du client</t>
        </is>
      </c>
    </row>
    <row r="109">
      <c r="A109" t="inlineStr">
        <is>
          <t>h_STRIPE_DELAI_INITIAL</t>
        </is>
      </c>
      <c r="B109" t="inlineStr">
        <is>
          <t>Stripe : délai du premier versement</t>
        </is>
      </c>
      <c r="C109" s="9" t="n">
        <v>7</v>
      </c>
      <c r="D109" t="inlineStr">
        <is>
          <t>jours</t>
        </is>
      </c>
      <c r="E109" s="7" t="inlineStr">
        <is>
          <t>https://docs.stripe.com/payouts (France : 7 jours calendaires au premier versement, 3 jours ouvrés ensuite)</t>
        </is>
      </c>
    </row>
    <row r="110">
      <c r="A110" t="inlineStr">
        <is>
          <t>h_STRIPE_DELAI</t>
        </is>
      </c>
      <c r="B110" t="inlineStr">
        <is>
          <t>Stripe / Shopify Payments : délai courant (3 jours ouvrés)</t>
        </is>
      </c>
      <c r="C110" s="9" t="n">
        <v>5</v>
      </c>
      <c r="D110" t="inlineStr">
        <is>
          <t>jours calendaires</t>
        </is>
      </c>
      <c r="E110" s="7" t="inlineStr">
        <is>
          <t>https://docs.stripe.com/payouts (France : 7 jours calendaires au premier versement, 3 jours ouvrés ensuite)</t>
        </is>
      </c>
    </row>
    <row r="111">
      <c r="A111" t="inlineStr">
        <is>
          <t>h_PAYPAL_RETENUE</t>
        </is>
      </c>
      <c r="B111" t="inlineStr">
        <is>
          <t>PayPal : retenue possible des premiers paiements</t>
        </is>
      </c>
      <c r="C111" s="9" t="n">
        <v>21</v>
      </c>
      <c r="D111" t="inlineStr">
        <is>
          <t>jours</t>
        </is>
      </c>
      <c r="E111" s="7" t="inlineStr">
        <is>
          <t>https://www.paypal.com/fr/brc/article/funds-availability</t>
        </is>
      </c>
    </row>
    <row r="112">
      <c r="A112" t="inlineStr">
        <is>
          <t>h_TTS_LIVRAISON</t>
        </is>
      </c>
      <c r="B112" t="inlineStr">
        <is>
          <t>TikTok Shop : délai commande → livraison</t>
        </is>
      </c>
      <c r="C112" s="9" t="n">
        <v>4</v>
      </c>
      <c r="D112" t="inlineStr">
        <is>
          <t>jours</t>
        </is>
      </c>
      <c r="E112" s="7" t="inlineStr">
        <is>
          <t>02 §1.3 (livraison sous 4 jours ouvrés)</t>
        </is>
      </c>
    </row>
    <row r="113">
      <c r="A113" t="inlineStr">
        <is>
          <t>h_TTS_DEBUTANT</t>
        </is>
      </c>
      <c r="B113" t="inlineStr">
        <is>
          <t>TikTok Shop : règlement d'un vendeur débutant</t>
        </is>
      </c>
      <c r="C113" s="9" t="n">
        <v>31</v>
      </c>
      <c r="D113" t="inlineStr">
        <is>
          <t>jours après livraison</t>
        </is>
      </c>
      <c r="E113" s="7" t="inlineStr">
        <is>
          <t>https://seller-fr.tiktok.com/university/essay?knowledge_id=747695670282004 (page du 09/10/2026)</t>
        </is>
      </c>
    </row>
    <row r="114">
      <c r="A114" t="inlineStr">
        <is>
          <t>h_TTS_STANDARD</t>
        </is>
      </c>
      <c r="B114" t="inlineStr">
        <is>
          <t>TikTok Shop : règlement standard</t>
        </is>
      </c>
      <c r="C114" s="9" t="n">
        <v>8</v>
      </c>
      <c r="D114" t="inlineStr">
        <is>
          <t>jours après livraison</t>
        </is>
      </c>
      <c r="E114" s="7" t="inlineStr">
        <is>
          <t>https://seller-fr.tiktok.com/university/essay?knowledge_id=747695670282004 (page du 09/10/2026)</t>
        </is>
      </c>
    </row>
    <row r="115">
      <c r="A115" t="inlineStr">
        <is>
          <t>h_TTS_ACCELERE</t>
        </is>
      </c>
      <c r="B115" t="inlineStr">
        <is>
          <t>TikTok Shop : règlement accéléré (SPS ≥ 2,5 et &gt; 4 500 $ de GMV)</t>
        </is>
      </c>
      <c r="C115" s="9" t="n">
        <v>3</v>
      </c>
      <c r="D115" t="inlineStr">
        <is>
          <t>jours après livraison</t>
        </is>
      </c>
      <c r="E115" s="7" t="inlineStr">
        <is>
          <t>https://seller-fr.tiktok.com/university/essay?knowledge_id=747695670282004 (page du 09/10/2026)</t>
        </is>
      </c>
    </row>
    <row r="116">
      <c r="A116" t="inlineStr">
        <is>
          <t>h_TTS_VIREMENT</t>
        </is>
      </c>
      <c r="B116" t="inlineStr">
        <is>
          <t>TikTok Shop : virement vers la banque</t>
        </is>
      </c>
      <c r="C116" s="9" t="n">
        <v>3</v>
      </c>
      <c r="D116" t="inlineStr">
        <is>
          <t>jours</t>
        </is>
      </c>
      <c r="E116" s="7" t="inlineStr">
        <is>
          <t>Page UK de TikTok Shop ; hypothèse pour la France</t>
        </is>
      </c>
    </row>
    <row r="117">
      <c r="A117" t="inlineStr">
        <is>
          <t>h_TTS_DEBUTANT_MOIS</t>
        </is>
      </c>
      <c r="B117" t="inlineStr">
        <is>
          <t>Durée du statut débutant (mois de ventes)</t>
        </is>
      </c>
      <c r="C117" s="9" t="n">
        <v>3</v>
      </c>
      <c r="D117" t="inlineStr">
        <is>
          <t>mois</t>
        </is>
      </c>
      <c r="E117" s="7" t="inlineStr">
        <is>
          <t>Estimation, confiance faible</t>
        </is>
      </c>
    </row>
    <row r="118">
      <c r="A118" t="inlineStr">
        <is>
          <t>h_COUV_MICRO</t>
        </is>
      </c>
      <c r="B118" t="inlineStr">
        <is>
          <t>Stock détenu, phase micro-stock</t>
        </is>
      </c>
      <c r="C118" s="9" t="n">
        <v>1.2</v>
      </c>
      <c r="D118" t="inlineStr">
        <is>
          <t>mois de ventes</t>
        </is>
      </c>
      <c r="E118" s="7" t="inlineStr">
        <is>
          <t>04 §6.7 : 25-45 jours</t>
        </is>
      </c>
    </row>
    <row r="119">
      <c r="A119" t="inlineStr">
        <is>
          <t>h_COUV_IMPORT</t>
        </is>
      </c>
      <c r="B119" t="inlineStr">
        <is>
          <t>Stock détenu, phase import groupé</t>
        </is>
      </c>
      <c r="C119" s="9" t="n">
        <v>2.5</v>
      </c>
      <c r="D119" t="inlineStr">
        <is>
          <t>mois de ventes</t>
        </is>
      </c>
      <c r="E119" s="7" t="inlineStr">
        <is>
          <t>04 §6.5</t>
        </is>
      </c>
    </row>
    <row r="120">
      <c r="A120" s="4" t="inlineStr">
        <is>
          <t>Paliers</t>
        </is>
      </c>
      <c r="B120" s="5" t="n"/>
      <c r="C120" s="5" t="n"/>
      <c r="D120" s="5" t="n"/>
      <c r="E120" s="5" t="n"/>
    </row>
    <row r="121">
      <c r="A121" t="inlineStr">
        <is>
          <t>h_P1_ECH</t>
        </is>
      </c>
      <c r="B121" t="inlineStr">
        <is>
          <t>Palier 1 : échantillons créateurs</t>
        </is>
      </c>
      <c r="C121" s="8" t="n">
        <v>100</v>
      </c>
      <c r="D121" t="inlineStr">
        <is>
          <t>€ / mois</t>
        </is>
      </c>
      <c r="E121" s="7" t="inlineStr">
        <is>
          <t>02 §3.6, estimation</t>
        </is>
      </c>
    </row>
    <row r="122">
      <c r="A122" t="inlineStr">
        <is>
          <t>h_P2_PART_PUB</t>
        </is>
      </c>
      <c r="B122" t="inlineStr">
        <is>
          <t>Palier 2 : part des commandes issues de la publicité</t>
        </is>
      </c>
      <c r="C122" s="6" t="n">
        <v>0.25</v>
      </c>
      <c r="D122" t="inlineStr">
        <is>
          <t>%</t>
        </is>
      </c>
      <c r="E122" s="7" t="inlineStr">
        <is>
          <t>Estimation, confiance faible</t>
        </is>
      </c>
    </row>
    <row r="123">
      <c r="A123" t="inlineStr">
        <is>
          <t>h_P2_FIXES_AUTRES</t>
        </is>
      </c>
      <c r="B123" t="inlineStr">
        <is>
          <t>Palier 2 : frais fixes hors personnel</t>
        </is>
      </c>
      <c r="C123" s="8" t="n">
        <v>750</v>
      </c>
      <c r="D123" t="inlineStr">
        <is>
          <t>€ / mois</t>
        </is>
      </c>
      <c r="E123" s="7" t="inlineStr">
        <is>
          <t>Comptable 200, banque 20, RC 40, Shopify Grow 105, applications 100, import 160, stockage 100, conformité 25 : estimation</t>
        </is>
      </c>
    </row>
    <row r="124">
      <c r="A124" t="inlineStr">
        <is>
          <t>h_P2_PERSONNEL</t>
        </is>
      </c>
      <c r="B124" t="inlineStr">
        <is>
          <t>Palier 2 : assistant SAV + media buyer</t>
        </is>
      </c>
      <c r="C124" s="8" t="n">
        <v>2300</v>
      </c>
      <c r="D124" t="inlineStr">
        <is>
          <t>€ / mois</t>
        </is>
      </c>
      <c r="E124" s="7" t="inlineStr">
        <is>
          <t>Estimation, confiance moyenne</t>
        </is>
      </c>
    </row>
    <row r="125">
      <c r="A125" t="inlineStr">
        <is>
          <t>h_P2_ECH</t>
        </is>
      </c>
      <c r="B125" t="inlineStr">
        <is>
          <t>Palier 2 : échantillons créateurs</t>
        </is>
      </c>
      <c r="C125" s="8" t="n">
        <v>300</v>
      </c>
      <c r="D125" t="inlineStr">
        <is>
          <t>€ / mois</t>
        </is>
      </c>
      <c r="E125" s="7" t="inlineStr">
        <is>
          <t>Estimation</t>
        </is>
      </c>
    </row>
    <row r="126">
      <c r="A126" t="inlineStr">
        <is>
          <t>h_P3_MARGE</t>
        </is>
      </c>
      <c r="B126" t="inlineStr">
        <is>
          <t>Palier 3 : marge nette sur CA HT</t>
        </is>
      </c>
      <c r="C126" s="6" t="n">
        <v>0.14</v>
      </c>
      <c r="D126" t="inlineStr">
        <is>
          <t>%</t>
        </is>
      </c>
      <c r="E126" s="7" t="inlineStr">
        <is>
          <t>04 §6.1 : 12-16 %</t>
        </is>
      </c>
    </row>
    <row r="127">
      <c r="A127" t="inlineStr">
        <is>
          <t>h_P3_PANIER</t>
        </is>
      </c>
      <c r="B127" t="inlineStr">
        <is>
          <t>Palier 3 : panier moyen</t>
        </is>
      </c>
      <c r="C127" s="8" t="n">
        <v>40</v>
      </c>
      <c r="D127" t="inlineStr">
        <is>
          <t>€ TTC</t>
        </is>
      </c>
      <c r="E127" s="7" t="inlineStr">
        <is>
          <t>04 §6.1</t>
        </is>
      </c>
    </row>
    <row r="128">
      <c r="A128" t="inlineStr">
        <is>
          <t>h_P3_PUB</t>
        </is>
      </c>
      <c r="B128" t="inlineStr">
        <is>
          <t>Palier 3 : publicité en % du CA HT</t>
        </is>
      </c>
      <c r="C128" s="6" t="n">
        <v>0.25</v>
      </c>
      <c r="D128" t="inlineStr">
        <is>
          <t>%</t>
        </is>
      </c>
      <c r="E128" s="7" t="inlineStr">
        <is>
          <t>02 §5.2 : 20-35 %</t>
        </is>
      </c>
    </row>
    <row r="129">
      <c r="A129" t="inlineStr">
        <is>
          <t>h_P3_COGS</t>
        </is>
      </c>
      <c r="B129" t="inlineStr">
        <is>
          <t>Palier 3 : coût des produits en % du CA HT</t>
        </is>
      </c>
      <c r="C129" s="6" t="n">
        <v>0.18</v>
      </c>
      <c r="D129" t="inlineStr">
        <is>
          <t>%</t>
        </is>
      </c>
      <c r="E129" s="7" t="inlineStr">
        <is>
          <t>Estimation, confiance faible</t>
        </is>
      </c>
    </row>
    <row r="130">
      <c r="A130" t="inlineStr">
        <is>
          <t>h_P4_MARGE</t>
        </is>
      </c>
      <c r="B130" t="inlineStr">
        <is>
          <t>Palier 4 : marge nette sur CA HT</t>
        </is>
      </c>
      <c r="C130" s="6" t="n">
        <v>0.12</v>
      </c>
      <c r="D130" t="inlineStr">
        <is>
          <t>%</t>
        </is>
      </c>
      <c r="E130" s="7" t="inlineStr">
        <is>
          <t>04 §6.1 : 10-14 %</t>
        </is>
      </c>
    </row>
    <row r="131">
      <c r="A131" t="inlineStr">
        <is>
          <t>h_P4_PANIER</t>
        </is>
      </c>
      <c r="B131" t="inlineStr">
        <is>
          <t>Palier 4 : panier moyen</t>
        </is>
      </c>
      <c r="C131" s="8" t="n">
        <v>45</v>
      </c>
      <c r="D131" t="inlineStr">
        <is>
          <t>€ TTC</t>
        </is>
      </c>
      <c r="E131" s="7" t="inlineStr">
        <is>
          <t>04 §6.1</t>
        </is>
      </c>
    </row>
    <row r="132">
      <c r="A132" t="inlineStr">
        <is>
          <t>h_P4_PUB</t>
        </is>
      </c>
      <c r="B132" t="inlineStr">
        <is>
          <t>Palier 4 : publicité en % du CA HT</t>
        </is>
      </c>
      <c r="C132" s="6" t="n">
        <v>0.22</v>
      </c>
      <c r="D132" t="inlineStr">
        <is>
          <t>%</t>
        </is>
      </c>
      <c r="E132" s="7" t="inlineStr">
        <is>
          <t>Estimation</t>
        </is>
      </c>
    </row>
    <row r="133">
      <c r="A133" t="inlineStr">
        <is>
          <t>h_P4_COGS</t>
        </is>
      </c>
      <c r="B133" t="inlineStr">
        <is>
          <t>Palier 4 : coût des produits en % du CA HT (distribution physique incluse)</t>
        </is>
      </c>
      <c r="C133" s="6" t="n">
        <v>0.22</v>
      </c>
      <c r="D133" t="inlineStr">
        <is>
          <t>%</t>
        </is>
      </c>
      <c r="E133" s="7" t="inlineStr">
        <is>
          <t>Estimation, confiance faible</t>
        </is>
      </c>
    </row>
    <row r="134">
      <c r="A134" t="inlineStr">
        <is>
          <t>h_PART_MARKETPLACE</t>
        </is>
      </c>
      <c r="B134" t="inlineStr">
        <is>
          <t>Paliers 3-4 : part du CA encaissée par des places de marché</t>
        </is>
      </c>
      <c r="C134" s="6" t="n">
        <v>0.4</v>
      </c>
      <c r="D134" t="inlineStr">
        <is>
          <t>%</t>
        </is>
      </c>
      <c r="E134" s="7" t="inlineStr">
        <is>
          <t>Estimation</t>
        </is>
      </c>
    </row>
    <row r="135">
      <c r="A135" t="inlineStr">
        <is>
          <t>h_CREANCES_JOURS</t>
        </is>
      </c>
      <c r="B135" t="inlineStr">
        <is>
          <t>Paliers 3-4 : délai d'encaissement des places de marché</t>
        </is>
      </c>
      <c r="C135" s="9" t="n">
        <v>15</v>
      </c>
      <c r="D135" t="inlineStr">
        <is>
          <t>jours</t>
        </is>
      </c>
      <c r="E135" s="7" t="inlineStr">
        <is>
          <t>TikTok Shop standard ; Amazon ≈ 14 jours</t>
        </is>
      </c>
    </row>
    <row r="136">
      <c r="A136" t="inlineStr">
        <is>
          <t>h_DETTES_FOURN_PART</t>
        </is>
      </c>
      <c r="B136" t="inlineStr">
        <is>
          <t>Paliers 3-4 : part des achats payée à 30 jours</t>
        </is>
      </c>
      <c r="C136" s="6" t="n">
        <v>0.5</v>
      </c>
      <c r="D136" t="inlineStr">
        <is>
          <t>%</t>
        </is>
      </c>
      <c r="E136" s="7" t="inlineStr">
        <is>
          <t>Estimation</t>
        </is>
      </c>
    </row>
    <row r="137">
      <c r="A137" t="inlineStr">
        <is>
          <t>h_TVA_NETTE_RATIO</t>
        </is>
      </c>
      <c r="B137" t="inlineStr">
        <is>
          <t>Paliers 3-4 : TVA nette due / TVA collectée</t>
        </is>
      </c>
      <c r="C137" s="9" t="n">
        <v>0.85</v>
      </c>
      <c r="D137" t="inlineStr">
        <is>
          <t>ratio</t>
        </is>
      </c>
      <c r="E137" s="7" t="inlineStr">
        <is>
          <t>Estimation : TVA d'import autoliquidée</t>
        </is>
      </c>
    </row>
    <row r="139">
      <c r="A139" s="1" t="inlineStr">
        <is>
          <t>Scénarios — saisies mensuelles (volumes, budgets, phases)</t>
        </is>
      </c>
    </row>
    <row r="140">
      <c r="A140" s="2" t="inlineStr">
        <is>
          <t>Commandes organiques et parts de canal : saisies. Taux TikTok, CPA, couverture de stock et délais : formules liées aux hypothèses ci-dessus. Frais fixes : calculés par le script selon les règles d'activation (Shopify dès 5 commandes/jour sur le site, la publicité ou le 3PL ; domiciliation dès 150 commandes/mois ; INPI dès 90 ; assistant SAV dès 1 000 ; media buyer dès 3 000 € de publicité).</t>
        </is>
      </c>
    </row>
    <row r="142">
      <c r="A142" s="4" t="inlineStr">
        <is>
          <t>Scénario pessimiste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</row>
    <row r="143">
      <c r="A143" s="3" t="inlineStr">
        <is>
          <t>Ligne</t>
        </is>
      </c>
      <c r="B143" s="3" t="inlineStr">
        <is>
          <t>Libellé</t>
        </is>
      </c>
      <c r="C143" s="3" t="inlineStr">
        <is>
          <t>oct. 2026</t>
        </is>
      </c>
      <c r="D143" s="3" t="inlineStr">
        <is>
          <t>nov. 2026</t>
        </is>
      </c>
      <c r="E143" s="3" t="inlineStr">
        <is>
          <t>déc. 2026</t>
        </is>
      </c>
      <c r="F143" s="3" t="inlineStr">
        <is>
          <t>janv. 2027</t>
        </is>
      </c>
      <c r="G143" s="3" t="inlineStr">
        <is>
          <t>févr. 2027</t>
        </is>
      </c>
      <c r="H143" s="3" t="inlineStr">
        <is>
          <t>mars 2027</t>
        </is>
      </c>
      <c r="I143" s="3" t="inlineStr">
        <is>
          <t>avr. 2027</t>
        </is>
      </c>
      <c r="J143" s="3" t="inlineStr">
        <is>
          <t>mai 2027</t>
        </is>
      </c>
      <c r="K143" s="3" t="inlineStr">
        <is>
          <t>juin 2027</t>
        </is>
      </c>
      <c r="L143" s="3" t="inlineStr">
        <is>
          <t>juil. 2027</t>
        </is>
      </c>
      <c r="M143" s="3" t="inlineStr">
        <is>
          <t>août 2027</t>
        </is>
      </c>
      <c r="N143" s="3" t="inlineStr">
        <is>
          <t>sept. 2027</t>
        </is>
      </c>
      <c r="O143" s="3" t="inlineStr">
        <is>
          <t>oct. 2027</t>
        </is>
      </c>
      <c r="P143" s="3" t="inlineStr">
        <is>
          <t>nov. 2027</t>
        </is>
      </c>
      <c r="Q143" s="3" t="inlineStr">
        <is>
          <t>déc. 2027</t>
        </is>
      </c>
      <c r="R143" s="3" t="inlineStr">
        <is>
          <t>janv. 2028</t>
        </is>
      </c>
      <c r="S143" s="3" t="inlineStr">
        <is>
          <t>févr. 2028</t>
        </is>
      </c>
      <c r="T143" s="3" t="inlineStr">
        <is>
          <t>mars 2028</t>
        </is>
      </c>
    </row>
    <row r="144">
      <c r="A144" t="inlineStr">
        <is>
          <t>exercice</t>
        </is>
      </c>
      <c r="B144" t="inlineStr">
        <is>
          <t>Exercice fiscal</t>
        </is>
      </c>
      <c r="C144" s="9" t="n">
        <v>2026</v>
      </c>
      <c r="D144" s="9" t="n">
        <v>2026</v>
      </c>
      <c r="E144" s="9" t="n">
        <v>2026</v>
      </c>
      <c r="F144" s="9" t="n">
        <v>2027</v>
      </c>
      <c r="G144" s="9" t="n">
        <v>2027</v>
      </c>
      <c r="H144" s="9" t="n">
        <v>2027</v>
      </c>
      <c r="I144" s="9" t="n">
        <v>2027</v>
      </c>
      <c r="J144" s="9" t="n">
        <v>2027</v>
      </c>
      <c r="K144" s="9" t="n">
        <v>2027</v>
      </c>
      <c r="L144" s="9" t="n">
        <v>2027</v>
      </c>
      <c r="M144" s="9" t="n">
        <v>2027</v>
      </c>
      <c r="N144" s="9" t="n">
        <v>2027</v>
      </c>
      <c r="O144" s="9" t="n">
        <v>2027</v>
      </c>
      <c r="P144" s="9" t="n">
        <v>2027</v>
      </c>
      <c r="Q144" s="9" t="n">
        <v>2027</v>
      </c>
      <c r="R144" s="9" t="n">
        <v>2028</v>
      </c>
      <c r="S144" s="9" t="n">
        <v>2028</v>
      </c>
      <c r="T144" s="9" t="n">
        <v>2028</v>
      </c>
    </row>
    <row r="145">
      <c r="A145" t="inlineStr">
        <is>
          <t>cmd_org</t>
        </is>
      </c>
      <c r="B145" t="inlineStr">
        <is>
          <t>Commandes organiques (tous canaux)</t>
        </is>
      </c>
      <c r="C145" s="10" t="n">
        <v>0</v>
      </c>
      <c r="D145" s="10" t="n">
        <v>8</v>
      </c>
      <c r="E145" s="10" t="n">
        <v>30</v>
      </c>
      <c r="F145" s="10" t="n">
        <v>18</v>
      </c>
      <c r="G145" s="10" t="n">
        <v>20</v>
      </c>
      <c r="H145" s="10" t="n">
        <v>22</v>
      </c>
      <c r="I145" s="10" t="n">
        <v>24</v>
      </c>
      <c r="J145" s="10" t="n">
        <v>25</v>
      </c>
      <c r="K145" s="10" t="n">
        <v>25</v>
      </c>
      <c r="L145" s="10" t="n">
        <v>25</v>
      </c>
      <c r="M145" s="10" t="n">
        <v>26</v>
      </c>
      <c r="N145" s="10" t="n">
        <v>28</v>
      </c>
      <c r="O145" s="10" t="n">
        <v>32</v>
      </c>
      <c r="P145" s="10" t="n">
        <v>45</v>
      </c>
      <c r="Q145" s="10" t="n">
        <v>55</v>
      </c>
      <c r="R145" s="10" t="n">
        <v>26</v>
      </c>
      <c r="S145" s="10" t="n">
        <v>26</v>
      </c>
      <c r="T145" s="10" t="n">
        <v>28</v>
      </c>
    </row>
    <row r="146">
      <c r="A146" t="inlineStr">
        <is>
          <t>part_site</t>
        </is>
      </c>
      <c r="B146" t="inlineStr">
        <is>
          <t>Part du site</t>
        </is>
      </c>
      <c r="C146" s="6" t="n">
        <v>1</v>
      </c>
      <c r="D146" s="6" t="n">
        <v>1</v>
      </c>
      <c r="E146" s="6" t="n">
        <v>0.3</v>
      </c>
      <c r="F146" s="6" t="n">
        <v>0.25</v>
      </c>
      <c r="G146" s="6" t="n">
        <v>0.25</v>
      </c>
      <c r="H146" s="6" t="n">
        <v>0.25</v>
      </c>
      <c r="I146" s="6" t="n">
        <v>0.25</v>
      </c>
      <c r="J146" s="6" t="n">
        <v>0.25</v>
      </c>
      <c r="K146" s="6" t="n">
        <v>0.25</v>
      </c>
      <c r="L146" s="6" t="n">
        <v>0.25</v>
      </c>
      <c r="M146" s="6" t="n">
        <v>0.25</v>
      </c>
      <c r="N146" s="6" t="n">
        <v>0.25</v>
      </c>
      <c r="O146" s="6" t="n">
        <v>0.25</v>
      </c>
      <c r="P146" s="6" t="n">
        <v>0.25</v>
      </c>
      <c r="Q146" s="6" t="n">
        <v>0.25</v>
      </c>
      <c r="R146" s="6" t="n">
        <v>0.25</v>
      </c>
      <c r="S146" s="6" t="n">
        <v>0.25</v>
      </c>
      <c r="T146" s="6" t="n">
        <v>0.25</v>
      </c>
    </row>
    <row r="147">
      <c r="A147" t="inlineStr">
        <is>
          <t>part_propre</t>
        </is>
      </c>
      <c r="B147" t="inlineStr">
        <is>
          <t>Part TikTok Shop, contenu propre</t>
        </is>
      </c>
      <c r="C147" s="6" t="n">
        <v>0</v>
      </c>
      <c r="D147" s="6" t="n">
        <v>0</v>
      </c>
      <c r="E147" s="6" t="n">
        <v>0.5</v>
      </c>
      <c r="F147" s="6" t="n">
        <v>0.35</v>
      </c>
      <c r="G147" s="6" t="n">
        <v>0.35</v>
      </c>
      <c r="H147" s="6" t="n">
        <v>0.35</v>
      </c>
      <c r="I147" s="6" t="n">
        <v>0.35</v>
      </c>
      <c r="J147" s="6" t="n">
        <v>0.35</v>
      </c>
      <c r="K147" s="6" t="n">
        <v>0.35</v>
      </c>
      <c r="L147" s="6" t="n">
        <v>0.35</v>
      </c>
      <c r="M147" s="6" t="n">
        <v>0.35</v>
      </c>
      <c r="N147" s="6" t="n">
        <v>0.35</v>
      </c>
      <c r="O147" s="6" t="n">
        <v>0.35</v>
      </c>
      <c r="P147" s="6" t="n">
        <v>0.35</v>
      </c>
      <c r="Q147" s="6" t="n">
        <v>0.35</v>
      </c>
      <c r="R147" s="6" t="n">
        <v>0.35</v>
      </c>
      <c r="S147" s="6" t="n">
        <v>0.35</v>
      </c>
      <c r="T147" s="6" t="n">
        <v>0.35</v>
      </c>
    </row>
    <row r="148">
      <c r="A148" t="inlineStr">
        <is>
          <t>part_aff</t>
        </is>
      </c>
      <c r="B148" t="inlineStr">
        <is>
          <t>Part TikTok Shop, affiliés</t>
        </is>
      </c>
      <c r="C148" s="6" t="n">
        <v>0</v>
      </c>
      <c r="D148" s="6" t="n">
        <v>0</v>
      </c>
      <c r="E148" s="6" t="n">
        <v>0.2</v>
      </c>
      <c r="F148" s="6" t="n">
        <v>0.4</v>
      </c>
      <c r="G148" s="6" t="n">
        <v>0.4</v>
      </c>
      <c r="H148" s="6" t="n">
        <v>0.4</v>
      </c>
      <c r="I148" s="6" t="n">
        <v>0.4</v>
      </c>
      <c r="J148" s="6" t="n">
        <v>0.4</v>
      </c>
      <c r="K148" s="6" t="n">
        <v>0.4</v>
      </c>
      <c r="L148" s="6" t="n">
        <v>0.4</v>
      </c>
      <c r="M148" s="6" t="n">
        <v>0.4</v>
      </c>
      <c r="N148" s="6" t="n">
        <v>0.4</v>
      </c>
      <c r="O148" s="6" t="n">
        <v>0.4</v>
      </c>
      <c r="P148" s="6" t="n">
        <v>0.4</v>
      </c>
      <c r="Q148" s="6" t="n">
        <v>0.4</v>
      </c>
      <c r="R148" s="6" t="n">
        <v>0.4</v>
      </c>
      <c r="S148" s="6" t="n">
        <v>0.4</v>
      </c>
      <c r="T148" s="6" t="n">
        <v>0.4</v>
      </c>
    </row>
    <row r="149">
      <c r="A149" t="inlineStr">
        <is>
          <t>taux_tts</t>
        </is>
      </c>
      <c r="B149" t="inlineStr">
        <is>
          <t>Commission TikTok Shop</t>
        </is>
      </c>
      <c r="C149" s="11">
        <f>h_TTS_COMM</f>
        <v/>
      </c>
      <c r="D149" s="11">
        <f>h_TTS_COMM</f>
        <v/>
      </c>
      <c r="E149" s="11">
        <f>h_TTS_COMM_LANCEMENT</f>
        <v/>
      </c>
      <c r="F149" s="11">
        <f>h_TTS_COMM_LANCEMENT</f>
        <v/>
      </c>
      <c r="G149" s="11">
        <f>h_TTS_COMM</f>
        <v/>
      </c>
      <c r="H149" s="11">
        <f>h_TTS_COMM</f>
        <v/>
      </c>
      <c r="I149" s="11">
        <f>h_TTS_COMM</f>
        <v/>
      </c>
      <c r="J149" s="11">
        <f>h_TTS_COMM</f>
        <v/>
      </c>
      <c r="K149" s="11">
        <f>h_TTS_COMM</f>
        <v/>
      </c>
      <c r="L149" s="11">
        <f>h_TTS_COMM</f>
        <v/>
      </c>
      <c r="M149" s="11">
        <f>h_TTS_COMM</f>
        <v/>
      </c>
      <c r="N149" s="11">
        <f>h_TTS_COMM</f>
        <v/>
      </c>
      <c r="O149" s="11">
        <f>h_TTS_COMM</f>
        <v/>
      </c>
      <c r="P149" s="11">
        <f>h_TTS_COMM</f>
        <v/>
      </c>
      <c r="Q149" s="11">
        <f>h_TTS_COMM</f>
        <v/>
      </c>
      <c r="R149" s="11">
        <f>h_TTS_COMM</f>
        <v/>
      </c>
      <c r="S149" s="11">
        <f>h_TTS_COMM</f>
        <v/>
      </c>
      <c r="T149" s="11">
        <f>h_TTS_COMM</f>
        <v/>
      </c>
    </row>
    <row r="150">
      <c r="A150" t="inlineStr">
        <is>
          <t>import</t>
        </is>
      </c>
      <c r="B150" t="inlineStr">
        <is>
          <t>Phase import groupé + 3PL (1 = oui)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</row>
    <row r="151">
      <c r="A151" t="inlineStr">
        <is>
          <t>pub</t>
        </is>
      </c>
      <c r="B151" t="inlineStr">
        <is>
          <t>Budget publicitaire</t>
        </is>
      </c>
      <c r="C151" s="13" t="n">
        <v>0</v>
      </c>
      <c r="D151" s="13" t="n">
        <v>0</v>
      </c>
      <c r="E151" s="13" t="n">
        <v>0</v>
      </c>
      <c r="F151" s="13" t="n">
        <v>0</v>
      </c>
      <c r="G151" s="13" t="n">
        <v>0</v>
      </c>
      <c r="H151" s="13" t="n">
        <v>0</v>
      </c>
      <c r="I151" s="13" t="n">
        <v>0</v>
      </c>
      <c r="J151" s="13" t="n">
        <v>0</v>
      </c>
      <c r="K151" s="13" t="n">
        <v>0</v>
      </c>
      <c r="L151" s="13" t="n">
        <v>0</v>
      </c>
      <c r="M151" s="13" t="n">
        <v>0</v>
      </c>
      <c r="N151" s="13" t="n">
        <v>0</v>
      </c>
      <c r="O151" s="13" t="n">
        <v>0</v>
      </c>
      <c r="P151" s="13" t="n">
        <v>0</v>
      </c>
      <c r="Q151" s="13" t="n">
        <v>0</v>
      </c>
      <c r="R151" s="13" t="n">
        <v>0</v>
      </c>
      <c r="S151" s="13" t="n">
        <v>0</v>
      </c>
      <c r="T151" s="13" t="n">
        <v>0</v>
      </c>
    </row>
    <row r="152">
      <c r="A152" t="inlineStr">
        <is>
          <t>cpa</t>
        </is>
      </c>
      <c r="B152" t="inlineStr">
        <is>
          <t>CPA</t>
        </is>
      </c>
      <c r="C152" s="14">
        <f>0</f>
        <v/>
      </c>
      <c r="D152" s="14">
        <f>0</f>
        <v/>
      </c>
      <c r="E152" s="14">
        <f>0</f>
        <v/>
      </c>
      <c r="F152" s="14">
        <f>0</f>
        <v/>
      </c>
      <c r="G152" s="14">
        <f>0</f>
        <v/>
      </c>
      <c r="H152" s="14">
        <f>0</f>
        <v/>
      </c>
      <c r="I152" s="14">
        <f>0</f>
        <v/>
      </c>
      <c r="J152" s="14">
        <f>0</f>
        <v/>
      </c>
      <c r="K152" s="14">
        <f>0</f>
        <v/>
      </c>
      <c r="L152" s="14">
        <f>0</f>
        <v/>
      </c>
      <c r="M152" s="14">
        <f>0</f>
        <v/>
      </c>
      <c r="N152" s="14">
        <f>0</f>
        <v/>
      </c>
      <c r="O152" s="14">
        <f>0</f>
        <v/>
      </c>
      <c r="P152" s="14">
        <f>0</f>
        <v/>
      </c>
      <c r="Q152" s="14">
        <f>0</f>
        <v/>
      </c>
      <c r="R152" s="14">
        <f>0</f>
        <v/>
      </c>
      <c r="S152" s="14">
        <f>0</f>
        <v/>
      </c>
      <c r="T152" s="14">
        <f>0</f>
        <v/>
      </c>
    </row>
    <row r="153">
      <c r="A153" t="inlineStr">
        <is>
          <t>ech</t>
        </is>
      </c>
      <c r="B153" t="inlineStr">
        <is>
          <t>Échantillons créateurs</t>
        </is>
      </c>
      <c r="C153" s="13" t="n">
        <v>0</v>
      </c>
      <c r="D153" s="13" t="n">
        <v>0</v>
      </c>
      <c r="E153" s="13" t="n">
        <v>60</v>
      </c>
      <c r="F153" s="13" t="n">
        <v>60</v>
      </c>
      <c r="G153" s="13" t="n">
        <v>60</v>
      </c>
      <c r="H153" s="13" t="n">
        <v>40</v>
      </c>
      <c r="I153" s="13" t="n">
        <v>40</v>
      </c>
      <c r="J153" s="13" t="n">
        <v>40</v>
      </c>
      <c r="K153" s="13" t="n">
        <v>40</v>
      </c>
      <c r="L153" s="13" t="n">
        <v>40</v>
      </c>
      <c r="M153" s="13" t="n">
        <v>40</v>
      </c>
      <c r="N153" s="13" t="n">
        <v>40</v>
      </c>
      <c r="O153" s="13" t="n">
        <v>40</v>
      </c>
      <c r="P153" s="13" t="n">
        <v>60</v>
      </c>
      <c r="Q153" s="13" t="n">
        <v>60</v>
      </c>
      <c r="R153" s="13" t="n">
        <v>40</v>
      </c>
      <c r="S153" s="13" t="n">
        <v>40</v>
      </c>
      <c r="T153" s="13" t="n">
        <v>40</v>
      </c>
    </row>
    <row r="154">
      <c r="A154" t="inlineStr">
        <is>
          <t>couverture</t>
        </is>
      </c>
      <c r="B154" t="inlineStr">
        <is>
          <t>Stock détenu en fin de mois (mois de ventes suivantes)</t>
        </is>
      </c>
      <c r="C154" s="15">
        <f>0</f>
        <v/>
      </c>
      <c r="D154" s="15">
        <f>h_COUV_MICRO</f>
        <v/>
      </c>
      <c r="E154" s="15">
        <f>h_COUV_MICRO</f>
        <v/>
      </c>
      <c r="F154" s="15">
        <f>h_COUV_MICRO</f>
        <v/>
      </c>
      <c r="G154" s="15">
        <f>h_COUV_MICRO</f>
        <v/>
      </c>
      <c r="H154" s="15">
        <f>h_COUV_MICRO</f>
        <v/>
      </c>
      <c r="I154" s="15">
        <f>h_COUV_MICRO</f>
        <v/>
      </c>
      <c r="J154" s="15">
        <f>h_COUV_MICRO</f>
        <v/>
      </c>
      <c r="K154" s="15">
        <f>h_COUV_MICRO</f>
        <v/>
      </c>
      <c r="L154" s="15">
        <f>h_COUV_MICRO</f>
        <v/>
      </c>
      <c r="M154" s="15">
        <f>h_COUV_MICRO</f>
        <v/>
      </c>
      <c r="N154" s="15">
        <f>h_COUV_MICRO</f>
        <v/>
      </c>
      <c r="O154" s="15">
        <f>h_COUV_MICRO</f>
        <v/>
      </c>
      <c r="P154" s="15">
        <f>h_COUV_MICRO</f>
        <v/>
      </c>
      <c r="Q154" s="15">
        <f>h_COUV_MICRO</f>
        <v/>
      </c>
      <c r="R154" s="15">
        <f>h_COUV_MICRO</f>
        <v/>
      </c>
      <c r="S154" s="15">
        <f>h_COUV_MICRO</f>
        <v/>
      </c>
      <c r="T154" s="15">
        <f>h_COUV_MICRO</f>
        <v/>
      </c>
    </row>
    <row r="155">
      <c r="A155" t="inlineStr">
        <is>
          <t>delai_site</t>
        </is>
      </c>
      <c r="B155" t="inlineStr">
        <is>
          <t>Délai d'encaissement du site (jours)</t>
        </is>
      </c>
      <c r="C155" s="16">
        <f>h_STRIPE_DELAI</f>
        <v/>
      </c>
      <c r="D155" s="16">
        <f>h_STRIPE_DELAI_INITIAL</f>
        <v/>
      </c>
      <c r="E155" s="16">
        <f>h_STRIPE_DELAI</f>
        <v/>
      </c>
      <c r="F155" s="16">
        <f>h_STRIPE_DELAI</f>
        <v/>
      </c>
      <c r="G155" s="16">
        <f>h_STRIPE_DELAI</f>
        <v/>
      </c>
      <c r="H155" s="16">
        <f>h_STRIPE_DELAI</f>
        <v/>
      </c>
      <c r="I155" s="16">
        <f>h_STRIPE_DELAI</f>
        <v/>
      </c>
      <c r="J155" s="16">
        <f>h_STRIPE_DELAI</f>
        <v/>
      </c>
      <c r="K155" s="16">
        <f>h_STRIPE_DELAI</f>
        <v/>
      </c>
      <c r="L155" s="16">
        <f>h_STRIPE_DELAI</f>
        <v/>
      </c>
      <c r="M155" s="16">
        <f>h_STRIPE_DELAI</f>
        <v/>
      </c>
      <c r="N155" s="16">
        <f>h_STRIPE_DELAI</f>
        <v/>
      </c>
      <c r="O155" s="16">
        <f>h_STRIPE_DELAI</f>
        <v/>
      </c>
      <c r="P155" s="16">
        <f>h_STRIPE_DELAI</f>
        <v/>
      </c>
      <c r="Q155" s="16">
        <f>h_STRIPE_DELAI</f>
        <v/>
      </c>
      <c r="R155" s="16">
        <f>h_STRIPE_DELAI</f>
        <v/>
      </c>
      <c r="S155" s="16">
        <f>h_STRIPE_DELAI</f>
        <v/>
      </c>
      <c r="T155" s="16">
        <f>h_STRIPE_DELAI</f>
        <v/>
      </c>
    </row>
    <row r="156">
      <c r="A156" t="inlineStr">
        <is>
          <t>delai_tts</t>
        </is>
      </c>
      <c r="B156" t="inlineStr">
        <is>
          <t>Délai d'encaissement TikTok Shop depuis la commande (jours)</t>
        </is>
      </c>
      <c r="C156" s="16">
        <f>0</f>
        <v/>
      </c>
      <c r="D156" s="16">
        <f>0</f>
        <v/>
      </c>
      <c r="E156" s="16">
        <f>h_TTS_LIVRAISON+h_TTS_DEBUTANT+h_TTS_VIREMENT</f>
        <v/>
      </c>
      <c r="F156" s="16">
        <f>h_TTS_LIVRAISON+h_TTS_DEBUTANT+h_TTS_VIREMENT</f>
        <v/>
      </c>
      <c r="G156" s="16">
        <f>h_TTS_LIVRAISON+h_TTS_DEBUTANT+h_TTS_VIREMENT</f>
        <v/>
      </c>
      <c r="H156" s="16">
        <f>h_TTS_LIVRAISON+h_TTS_STANDARD+h_TTS_VIREMENT</f>
        <v/>
      </c>
      <c r="I156" s="16">
        <f>h_TTS_LIVRAISON+h_TTS_STANDARD+h_TTS_VIREMENT</f>
        <v/>
      </c>
      <c r="J156" s="16">
        <f>h_TTS_LIVRAISON+h_TTS_STANDARD+h_TTS_VIREMENT</f>
        <v/>
      </c>
      <c r="K156" s="16">
        <f>h_TTS_LIVRAISON+h_TTS_STANDARD+h_TTS_VIREMENT</f>
        <v/>
      </c>
      <c r="L156" s="16">
        <f>h_TTS_LIVRAISON+h_TTS_STANDARD+h_TTS_VIREMENT</f>
        <v/>
      </c>
      <c r="M156" s="16">
        <f>h_TTS_LIVRAISON+h_TTS_STANDARD+h_TTS_VIREMENT</f>
        <v/>
      </c>
      <c r="N156" s="16">
        <f>h_TTS_LIVRAISON+h_TTS_STANDARD+h_TTS_VIREMENT</f>
        <v/>
      </c>
      <c r="O156" s="16">
        <f>h_TTS_LIVRAISON+h_TTS_STANDARD+h_TTS_VIREMENT</f>
        <v/>
      </c>
      <c r="P156" s="16">
        <f>h_TTS_LIVRAISON+h_TTS_STANDARD+h_TTS_VIREMENT</f>
        <v/>
      </c>
      <c r="Q156" s="16">
        <f>h_TTS_LIVRAISON+h_TTS_STANDARD+h_TTS_VIREMENT</f>
        <v/>
      </c>
      <c r="R156" s="16">
        <f>h_TTS_LIVRAISON+h_TTS_STANDARD+h_TTS_VIREMENT</f>
        <v/>
      </c>
      <c r="S156" s="16">
        <f>h_TTS_LIVRAISON+h_TTS_STANDARD+h_TTS_VIREMENT</f>
        <v/>
      </c>
      <c r="T156" s="16">
        <f>h_TTS_LIVRAISON+h_TTS_STANDARD+h_TTS_VIREMENT</f>
        <v/>
      </c>
    </row>
    <row r="157">
      <c r="A157" t="inlineStr">
        <is>
          <t>ff_structure</t>
        </is>
      </c>
      <c r="B157" t="inlineStr">
        <is>
          <t>Frais fixes : structure (comptable, banque)</t>
        </is>
      </c>
      <c r="C157" s="17" t="n">
        <v>100</v>
      </c>
      <c r="D157" s="17" t="n">
        <v>100</v>
      </c>
      <c r="E157" s="17" t="n">
        <v>100</v>
      </c>
      <c r="F157" s="17" t="n">
        <v>100</v>
      </c>
      <c r="G157" s="17" t="n">
        <v>100</v>
      </c>
      <c r="H157" s="17" t="n">
        <v>100</v>
      </c>
      <c r="I157" s="17" t="n">
        <v>100</v>
      </c>
      <c r="J157" s="17" t="n">
        <v>100</v>
      </c>
      <c r="K157" s="17" t="n">
        <v>100</v>
      </c>
      <c r="L157" s="17" t="n">
        <v>100</v>
      </c>
      <c r="M157" s="17" t="n">
        <v>100</v>
      </c>
      <c r="N157" s="17" t="n">
        <v>100</v>
      </c>
      <c r="O157" s="17" t="n">
        <v>100</v>
      </c>
      <c r="P157" s="17" t="n">
        <v>100</v>
      </c>
      <c r="Q157" s="17" t="n">
        <v>100</v>
      </c>
      <c r="R157" s="17" t="n">
        <v>100</v>
      </c>
      <c r="S157" s="17" t="n">
        <v>100</v>
      </c>
      <c r="T157" s="17" t="n">
        <v>100</v>
      </c>
    </row>
    <row r="158">
      <c r="A158" t="inlineStr">
        <is>
          <t>ff_conformite</t>
        </is>
      </c>
      <c r="B158" t="inlineStr">
        <is>
          <t>Frais fixes : conformité et ponctuels (médiateur, Léko, RC, INPI, EUIPO, domaine)</t>
        </is>
      </c>
      <c r="C158" s="17" t="n">
        <v>45</v>
      </c>
      <c r="D158" s="17" t="n">
        <v>155</v>
      </c>
      <c r="E158" s="17" t="n">
        <v>0</v>
      </c>
      <c r="F158" s="17" t="n">
        <v>0</v>
      </c>
      <c r="G158" s="17" t="n">
        <v>25</v>
      </c>
      <c r="H158" s="17" t="n">
        <v>25</v>
      </c>
      <c r="I158" s="17" t="n">
        <v>25</v>
      </c>
      <c r="J158" s="17" t="n">
        <v>25</v>
      </c>
      <c r="K158" s="17" t="n">
        <v>25</v>
      </c>
      <c r="L158" s="17" t="n">
        <v>25</v>
      </c>
      <c r="M158" s="17" t="n">
        <v>25</v>
      </c>
      <c r="N158" s="17" t="n">
        <v>25</v>
      </c>
      <c r="O158" s="17" t="n">
        <v>35</v>
      </c>
      <c r="P158" s="17" t="n">
        <v>120</v>
      </c>
      <c r="Q158" s="17" t="n">
        <v>25</v>
      </c>
      <c r="R158" s="17" t="n">
        <v>25</v>
      </c>
      <c r="S158" s="17" t="n">
        <v>25</v>
      </c>
      <c r="T158" s="17" t="n">
        <v>25</v>
      </c>
    </row>
    <row r="159">
      <c r="A159" t="inlineStr">
        <is>
          <t>ff_outils</t>
        </is>
      </c>
      <c r="B159" t="inlineStr">
        <is>
          <t>Frais fixes : outils, Shopify, domiciliation</t>
        </is>
      </c>
      <c r="C159" s="17" t="n">
        <v>0</v>
      </c>
      <c r="D159" s="17" t="n">
        <v>0</v>
      </c>
      <c r="E159" s="17" t="n">
        <v>10</v>
      </c>
      <c r="F159" s="17" t="n">
        <v>10</v>
      </c>
      <c r="G159" s="17" t="n">
        <v>10</v>
      </c>
      <c r="H159" s="17" t="n">
        <v>10</v>
      </c>
      <c r="I159" s="17" t="n">
        <v>10</v>
      </c>
      <c r="J159" s="17" t="n">
        <v>10</v>
      </c>
      <c r="K159" s="17" t="n">
        <v>10</v>
      </c>
      <c r="L159" s="17" t="n">
        <v>10</v>
      </c>
      <c r="M159" s="17" t="n">
        <v>10</v>
      </c>
      <c r="N159" s="17" t="n">
        <v>10</v>
      </c>
      <c r="O159" s="17" t="n">
        <v>10</v>
      </c>
      <c r="P159" s="17" t="n">
        <v>10</v>
      </c>
      <c r="Q159" s="17" t="n">
        <v>10</v>
      </c>
      <c r="R159" s="17" t="n">
        <v>10</v>
      </c>
      <c r="S159" s="17" t="n">
        <v>10</v>
      </c>
      <c r="T159" s="17" t="n">
        <v>10</v>
      </c>
    </row>
    <row r="160">
      <c r="A160" t="inlineStr">
        <is>
          <t>ff_import</t>
        </is>
      </c>
      <c r="B160" t="inlineStr">
        <is>
          <t>Frais fixes : import et stockage 3PL</t>
        </is>
      </c>
      <c r="C160" s="17" t="n">
        <v>0</v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7" t="n">
        <v>0</v>
      </c>
      <c r="R160" s="17" t="n">
        <v>0</v>
      </c>
      <c r="S160" s="17" t="n">
        <v>0</v>
      </c>
      <c r="T160" s="17" t="n">
        <v>0</v>
      </c>
    </row>
    <row r="161">
      <c r="A161" t="inlineStr">
        <is>
          <t>ff_personnel</t>
        </is>
      </c>
      <c r="B161" t="inlineStr">
        <is>
          <t>Frais fixes : personnel</t>
        </is>
      </c>
      <c r="C161" s="17" t="n">
        <v>0</v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7" t="n">
        <v>0</v>
      </c>
      <c r="R161" s="17" t="n">
        <v>0</v>
      </c>
      <c r="S161" s="17" t="n">
        <v>0</v>
      </c>
      <c r="T161" s="17" t="n">
        <v>0</v>
      </c>
    </row>
    <row r="163">
      <c r="A163" s="4" t="inlineStr">
        <is>
          <t>Scénario réaliste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</row>
    <row r="164">
      <c r="A164" s="3" t="inlineStr">
        <is>
          <t>Ligne</t>
        </is>
      </c>
      <c r="B164" s="3" t="inlineStr">
        <is>
          <t>Libellé</t>
        </is>
      </c>
      <c r="C164" s="3" t="inlineStr">
        <is>
          <t>oct. 2026</t>
        </is>
      </c>
      <c r="D164" s="3" t="inlineStr">
        <is>
          <t>nov. 2026</t>
        </is>
      </c>
      <c r="E164" s="3" t="inlineStr">
        <is>
          <t>déc. 2026</t>
        </is>
      </c>
      <c r="F164" s="3" t="inlineStr">
        <is>
          <t>janv. 2027</t>
        </is>
      </c>
      <c r="G164" s="3" t="inlineStr">
        <is>
          <t>févr. 2027</t>
        </is>
      </c>
      <c r="H164" s="3" t="inlineStr">
        <is>
          <t>mars 2027</t>
        </is>
      </c>
      <c r="I164" s="3" t="inlineStr">
        <is>
          <t>avr. 2027</t>
        </is>
      </c>
      <c r="J164" s="3" t="inlineStr">
        <is>
          <t>mai 2027</t>
        </is>
      </c>
      <c r="K164" s="3" t="inlineStr">
        <is>
          <t>juin 2027</t>
        </is>
      </c>
      <c r="L164" s="3" t="inlineStr">
        <is>
          <t>juil. 2027</t>
        </is>
      </c>
      <c r="M164" s="3" t="inlineStr">
        <is>
          <t>août 2027</t>
        </is>
      </c>
      <c r="N164" s="3" t="inlineStr">
        <is>
          <t>sept. 2027</t>
        </is>
      </c>
      <c r="O164" s="3" t="inlineStr">
        <is>
          <t>oct. 2027</t>
        </is>
      </c>
      <c r="P164" s="3" t="inlineStr">
        <is>
          <t>nov. 2027</t>
        </is>
      </c>
      <c r="Q164" s="3" t="inlineStr">
        <is>
          <t>déc. 2027</t>
        </is>
      </c>
      <c r="R164" s="3" t="inlineStr">
        <is>
          <t>janv. 2028</t>
        </is>
      </c>
      <c r="S164" s="3" t="inlineStr">
        <is>
          <t>févr. 2028</t>
        </is>
      </c>
      <c r="T164" s="3" t="inlineStr">
        <is>
          <t>mars 2028</t>
        </is>
      </c>
    </row>
    <row r="165">
      <c r="A165" t="inlineStr">
        <is>
          <t>exercice</t>
        </is>
      </c>
      <c r="B165" t="inlineStr">
        <is>
          <t>Exercice fiscal</t>
        </is>
      </c>
      <c r="C165" s="9" t="n">
        <v>2026</v>
      </c>
      <c r="D165" s="9" t="n">
        <v>2026</v>
      </c>
      <c r="E165" s="9" t="n">
        <v>2026</v>
      </c>
      <c r="F165" s="9" t="n">
        <v>2027</v>
      </c>
      <c r="G165" s="9" t="n">
        <v>2027</v>
      </c>
      <c r="H165" s="9" t="n">
        <v>2027</v>
      </c>
      <c r="I165" s="9" t="n">
        <v>2027</v>
      </c>
      <c r="J165" s="9" t="n">
        <v>2027</v>
      </c>
      <c r="K165" s="9" t="n">
        <v>2027</v>
      </c>
      <c r="L165" s="9" t="n">
        <v>2027</v>
      </c>
      <c r="M165" s="9" t="n">
        <v>2027</v>
      </c>
      <c r="N165" s="9" t="n">
        <v>2027</v>
      </c>
      <c r="O165" s="9" t="n">
        <v>2027</v>
      </c>
      <c r="P165" s="9" t="n">
        <v>2027</v>
      </c>
      <c r="Q165" s="9" t="n">
        <v>2027</v>
      </c>
      <c r="R165" s="9" t="n">
        <v>2028</v>
      </c>
      <c r="S165" s="9" t="n">
        <v>2028</v>
      </c>
      <c r="T165" s="9" t="n">
        <v>2028</v>
      </c>
    </row>
    <row r="166">
      <c r="A166" t="inlineStr">
        <is>
          <t>cmd_org</t>
        </is>
      </c>
      <c r="B166" t="inlineStr">
        <is>
          <t>Commandes organiques (tous canaux)</t>
        </is>
      </c>
      <c r="C166" s="10" t="n">
        <v>0</v>
      </c>
      <c r="D166" s="10" t="n">
        <v>12</v>
      </c>
      <c r="E166" s="10" t="n">
        <v>45</v>
      </c>
      <c r="F166" s="10" t="n">
        <v>50</v>
      </c>
      <c r="G166" s="10" t="n">
        <v>65</v>
      </c>
      <c r="H166" s="10" t="n">
        <v>85</v>
      </c>
      <c r="I166" s="10" t="n">
        <v>105</v>
      </c>
      <c r="J166" s="10" t="n">
        <v>125</v>
      </c>
      <c r="K166" s="10" t="n">
        <v>145</v>
      </c>
      <c r="L166" s="10" t="n">
        <v>160</v>
      </c>
      <c r="M166" s="10" t="n">
        <v>170</v>
      </c>
      <c r="N166" s="10" t="n">
        <v>185</v>
      </c>
      <c r="O166" s="10" t="n">
        <v>205</v>
      </c>
      <c r="P166" s="10" t="n">
        <v>250</v>
      </c>
      <c r="Q166" s="10" t="n">
        <v>320</v>
      </c>
      <c r="R166" s="10" t="n">
        <v>240</v>
      </c>
      <c r="S166" s="10" t="n">
        <v>260</v>
      </c>
      <c r="T166" s="10" t="n">
        <v>290</v>
      </c>
    </row>
    <row r="167">
      <c r="A167" t="inlineStr">
        <is>
          <t>part_site</t>
        </is>
      </c>
      <c r="B167" t="inlineStr">
        <is>
          <t>Part du site</t>
        </is>
      </c>
      <c r="C167" s="6" t="n">
        <v>1</v>
      </c>
      <c r="D167" s="6" t="n">
        <v>1</v>
      </c>
      <c r="E167" s="6" t="n">
        <v>0.3</v>
      </c>
      <c r="F167" s="6" t="n">
        <v>0.25</v>
      </c>
      <c r="G167" s="6" t="n">
        <v>0.2</v>
      </c>
      <c r="H167" s="6" t="n">
        <v>0.2</v>
      </c>
      <c r="I167" s="6" t="n">
        <v>0.2</v>
      </c>
      <c r="J167" s="6" t="n">
        <v>0.2</v>
      </c>
      <c r="K167" s="6" t="n">
        <v>0.2</v>
      </c>
      <c r="L167" s="6" t="n">
        <v>0.2</v>
      </c>
      <c r="M167" s="6" t="n">
        <v>0.2</v>
      </c>
      <c r="N167" s="6" t="n">
        <v>0.2</v>
      </c>
      <c r="O167" s="6" t="n">
        <v>0.2</v>
      </c>
      <c r="P167" s="6" t="n">
        <v>0.2</v>
      </c>
      <c r="Q167" s="6" t="n">
        <v>0.2</v>
      </c>
      <c r="R167" s="6" t="n">
        <v>0.2</v>
      </c>
      <c r="S167" s="6" t="n">
        <v>0.2</v>
      </c>
      <c r="T167" s="6" t="n">
        <v>0.2</v>
      </c>
    </row>
    <row r="168">
      <c r="A168" t="inlineStr">
        <is>
          <t>part_propre</t>
        </is>
      </c>
      <c r="B168" t="inlineStr">
        <is>
          <t>Part TikTok Shop, contenu propre</t>
        </is>
      </c>
      <c r="C168" s="6" t="n">
        <v>0</v>
      </c>
      <c r="D168" s="6" t="n">
        <v>0</v>
      </c>
      <c r="E168" s="6" t="n">
        <v>0.5</v>
      </c>
      <c r="F168" s="6" t="n">
        <v>0.35</v>
      </c>
      <c r="G168" s="6" t="n">
        <v>0.22</v>
      </c>
      <c r="H168" s="6" t="n">
        <v>0.22</v>
      </c>
      <c r="I168" s="6" t="n">
        <v>0.22</v>
      </c>
      <c r="J168" s="6" t="n">
        <v>0.22</v>
      </c>
      <c r="K168" s="6" t="n">
        <v>0.22</v>
      </c>
      <c r="L168" s="6" t="n">
        <v>0.22</v>
      </c>
      <c r="M168" s="6" t="n">
        <v>0.22</v>
      </c>
      <c r="N168" s="6" t="n">
        <v>0.22</v>
      </c>
      <c r="O168" s="6" t="n">
        <v>0.22</v>
      </c>
      <c r="P168" s="6" t="n">
        <v>0.22</v>
      </c>
      <c r="Q168" s="6" t="n">
        <v>0.22</v>
      </c>
      <c r="R168" s="6" t="n">
        <v>0.22</v>
      </c>
      <c r="S168" s="6" t="n">
        <v>0.22</v>
      </c>
      <c r="T168" s="6" t="n">
        <v>0.22</v>
      </c>
    </row>
    <row r="169">
      <c r="A169" t="inlineStr">
        <is>
          <t>part_aff</t>
        </is>
      </c>
      <c r="B169" t="inlineStr">
        <is>
          <t>Part TikTok Shop, affiliés</t>
        </is>
      </c>
      <c r="C169" s="6" t="n">
        <v>0</v>
      </c>
      <c r="D169" s="6" t="n">
        <v>0</v>
      </c>
      <c r="E169" s="6" t="n">
        <v>0.2</v>
      </c>
      <c r="F169" s="6" t="n">
        <v>0.4</v>
      </c>
      <c r="G169" s="6" t="n">
        <v>0.58</v>
      </c>
      <c r="H169" s="6" t="n">
        <v>0.58</v>
      </c>
      <c r="I169" s="6" t="n">
        <v>0.58</v>
      </c>
      <c r="J169" s="6" t="n">
        <v>0.58</v>
      </c>
      <c r="K169" s="6" t="n">
        <v>0.58</v>
      </c>
      <c r="L169" s="6" t="n">
        <v>0.58</v>
      </c>
      <c r="M169" s="6" t="n">
        <v>0.58</v>
      </c>
      <c r="N169" s="6" t="n">
        <v>0.58</v>
      </c>
      <c r="O169" s="6" t="n">
        <v>0.58</v>
      </c>
      <c r="P169" s="6" t="n">
        <v>0.58</v>
      </c>
      <c r="Q169" s="6" t="n">
        <v>0.58</v>
      </c>
      <c r="R169" s="6" t="n">
        <v>0.58</v>
      </c>
      <c r="S169" s="6" t="n">
        <v>0.58</v>
      </c>
      <c r="T169" s="6" t="n">
        <v>0.58</v>
      </c>
    </row>
    <row r="170">
      <c r="A170" t="inlineStr">
        <is>
          <t>taux_tts</t>
        </is>
      </c>
      <c r="B170" t="inlineStr">
        <is>
          <t>Commission TikTok Shop</t>
        </is>
      </c>
      <c r="C170" s="11">
        <f>h_TTS_COMM</f>
        <v/>
      </c>
      <c r="D170" s="11">
        <f>h_TTS_COMM</f>
        <v/>
      </c>
      <c r="E170" s="11">
        <f>h_TTS_COMM_LANCEMENT</f>
        <v/>
      </c>
      <c r="F170" s="11">
        <f>h_TTS_COMM_LANCEMENT</f>
        <v/>
      </c>
      <c r="G170" s="11">
        <f>h_TTS_COMM</f>
        <v/>
      </c>
      <c r="H170" s="11">
        <f>h_TTS_COMM</f>
        <v/>
      </c>
      <c r="I170" s="11">
        <f>h_TTS_COMM</f>
        <v/>
      </c>
      <c r="J170" s="11">
        <f>h_TTS_COMM</f>
        <v/>
      </c>
      <c r="K170" s="11">
        <f>h_TTS_COMM</f>
        <v/>
      </c>
      <c r="L170" s="11">
        <f>h_TTS_COMM</f>
        <v/>
      </c>
      <c r="M170" s="11">
        <f>h_TTS_COMM</f>
        <v/>
      </c>
      <c r="N170" s="11">
        <f>h_TTS_COMM</f>
        <v/>
      </c>
      <c r="O170" s="11">
        <f>h_TTS_COMM</f>
        <v/>
      </c>
      <c r="P170" s="11">
        <f>h_TTS_COMM</f>
        <v/>
      </c>
      <c r="Q170" s="11">
        <f>h_TTS_COMM</f>
        <v/>
      </c>
      <c r="R170" s="11">
        <f>h_TTS_COMM</f>
        <v/>
      </c>
      <c r="S170" s="11">
        <f>h_TTS_COMM</f>
        <v/>
      </c>
      <c r="T170" s="11">
        <f>h_TTS_COMM</f>
        <v/>
      </c>
    </row>
    <row r="171">
      <c r="A171" t="inlineStr">
        <is>
          <t>import</t>
        </is>
      </c>
      <c r="B171" t="inlineStr">
        <is>
          <t>Phase import groupé + 3PL (1 = oui)</t>
        </is>
      </c>
      <c r="C171" s="12" t="n">
        <v>0</v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1</v>
      </c>
      <c r="P171" s="12" t="n">
        <v>1</v>
      </c>
      <c r="Q171" s="12" t="n">
        <v>1</v>
      </c>
      <c r="R171" s="12" t="n">
        <v>1</v>
      </c>
      <c r="S171" s="12" t="n">
        <v>1</v>
      </c>
      <c r="T171" s="12" t="n">
        <v>1</v>
      </c>
    </row>
    <row r="172">
      <c r="A172" t="inlineStr">
        <is>
          <t>pub</t>
        </is>
      </c>
      <c r="B172" t="inlineStr">
        <is>
          <t>Budget publicitaire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0</v>
      </c>
      <c r="P172" s="13" t="n">
        <v>300</v>
      </c>
      <c r="Q172" s="13" t="n">
        <v>450</v>
      </c>
      <c r="R172" s="13" t="n">
        <v>600</v>
      </c>
      <c r="S172" s="13" t="n">
        <v>0</v>
      </c>
      <c r="T172" s="13" t="n">
        <v>0</v>
      </c>
    </row>
    <row r="173">
      <c r="A173" t="inlineStr">
        <is>
          <t>cpa</t>
        </is>
      </c>
      <c r="B173" t="inlineStr">
        <is>
          <t>CPA</t>
        </is>
      </c>
      <c r="C173" s="14">
        <f>h_CPA_REALISTE</f>
        <v/>
      </c>
      <c r="D173" s="14">
        <f>h_CPA_REALISTE</f>
        <v/>
      </c>
      <c r="E173" s="14">
        <f>h_CPA_REALISTE</f>
        <v/>
      </c>
      <c r="F173" s="14">
        <f>h_CPA_REALISTE</f>
        <v/>
      </c>
      <c r="G173" s="14">
        <f>h_CPA_REALISTE</f>
        <v/>
      </c>
      <c r="H173" s="14">
        <f>h_CPA_REALISTE</f>
        <v/>
      </c>
      <c r="I173" s="14">
        <f>h_CPA_REALISTE</f>
        <v/>
      </c>
      <c r="J173" s="14">
        <f>h_CPA_REALISTE</f>
        <v/>
      </c>
      <c r="K173" s="14">
        <f>h_CPA_REALISTE</f>
        <v/>
      </c>
      <c r="L173" s="14">
        <f>h_CPA_REALISTE</f>
        <v/>
      </c>
      <c r="M173" s="14">
        <f>h_CPA_REALISTE</f>
        <v/>
      </c>
      <c r="N173" s="14">
        <f>h_CPA_REALISTE</f>
        <v/>
      </c>
      <c r="O173" s="14">
        <f>h_CPA_REALISTE</f>
        <v/>
      </c>
      <c r="P173" s="14">
        <f>h_CPA_REALISTE</f>
        <v/>
      </c>
      <c r="Q173" s="14">
        <f>h_CPA_REALISTE</f>
        <v/>
      </c>
      <c r="R173" s="14">
        <f>h_CPA_REALISTE</f>
        <v/>
      </c>
      <c r="S173" s="14">
        <f>h_CPA_REALISTE</f>
        <v/>
      </c>
      <c r="T173" s="14">
        <f>h_CPA_REALISTE</f>
        <v/>
      </c>
    </row>
    <row r="174">
      <c r="A174" t="inlineStr">
        <is>
          <t>ech</t>
        </is>
      </c>
      <c r="B174" t="inlineStr">
        <is>
          <t>Échantillons créateurs</t>
        </is>
      </c>
      <c r="C174" s="13" t="n">
        <v>0</v>
      </c>
      <c r="D174" s="13" t="n">
        <v>0</v>
      </c>
      <c r="E174" s="13" t="n">
        <v>60</v>
      </c>
      <c r="F174" s="13" t="n">
        <v>150</v>
      </c>
      <c r="G174" s="13" t="n">
        <v>150</v>
      </c>
      <c r="H174" s="13" t="n">
        <v>100</v>
      </c>
      <c r="I174" s="13" t="n">
        <v>100</v>
      </c>
      <c r="J174" s="13" t="n">
        <v>100</v>
      </c>
      <c r="K174" s="13" t="n">
        <v>100</v>
      </c>
      <c r="L174" s="13" t="n">
        <v>100</v>
      </c>
      <c r="M174" s="13" t="n">
        <v>100</v>
      </c>
      <c r="N174" s="13" t="n">
        <v>100</v>
      </c>
      <c r="O174" s="13" t="n">
        <v>100</v>
      </c>
      <c r="P174" s="13" t="n">
        <v>120</v>
      </c>
      <c r="Q174" s="13" t="n">
        <v>120</v>
      </c>
      <c r="R174" s="13" t="n">
        <v>100</v>
      </c>
      <c r="S174" s="13" t="n">
        <v>100</v>
      </c>
      <c r="T174" s="13" t="n">
        <v>100</v>
      </c>
    </row>
    <row r="175">
      <c r="A175" t="inlineStr">
        <is>
          <t>couverture</t>
        </is>
      </c>
      <c r="B175" t="inlineStr">
        <is>
          <t>Stock détenu en fin de mois (mois de ventes suivantes)</t>
        </is>
      </c>
      <c r="C175" s="15">
        <f>0</f>
        <v/>
      </c>
      <c r="D175" s="15">
        <f>h_COUV_MICRO</f>
        <v/>
      </c>
      <c r="E175" s="15">
        <f>h_COUV_MICRO</f>
        <v/>
      </c>
      <c r="F175" s="15">
        <f>h_COUV_MICRO</f>
        <v/>
      </c>
      <c r="G175" s="15">
        <f>h_COUV_MICRO</f>
        <v/>
      </c>
      <c r="H175" s="15">
        <f>h_COUV_MICRO</f>
        <v/>
      </c>
      <c r="I175" s="15">
        <f>h_COUV_MICRO</f>
        <v/>
      </c>
      <c r="J175" s="15">
        <f>h_COUV_MICRO</f>
        <v/>
      </c>
      <c r="K175" s="15">
        <f>h_COUV_MICRO</f>
        <v/>
      </c>
      <c r="L175" s="15">
        <f>h_COUV_MICRO</f>
        <v/>
      </c>
      <c r="M175" s="15">
        <f>h_COUV_MICRO</f>
        <v/>
      </c>
      <c r="N175" s="15">
        <f>h_COUV_IMPORT</f>
        <v/>
      </c>
      <c r="O175" s="15">
        <f>h_COUV_IMPORT</f>
        <v/>
      </c>
      <c r="P175" s="15">
        <f>h_COUV_IMPORT</f>
        <v/>
      </c>
      <c r="Q175" s="15">
        <f>h_COUV_IMPORT</f>
        <v/>
      </c>
      <c r="R175" s="15">
        <f>h_COUV_IMPORT</f>
        <v/>
      </c>
      <c r="S175" s="15">
        <f>h_COUV_IMPORT</f>
        <v/>
      </c>
      <c r="T175" s="15">
        <f>h_COUV_IMPORT</f>
        <v/>
      </c>
    </row>
    <row r="176">
      <c r="A176" t="inlineStr">
        <is>
          <t>delai_site</t>
        </is>
      </c>
      <c r="B176" t="inlineStr">
        <is>
          <t>Délai d'encaissement du site (jours)</t>
        </is>
      </c>
      <c r="C176" s="16">
        <f>h_STRIPE_DELAI</f>
        <v/>
      </c>
      <c r="D176" s="16">
        <f>h_STRIPE_DELAI_INITIAL</f>
        <v/>
      </c>
      <c r="E176" s="16">
        <f>h_STRIPE_DELAI</f>
        <v/>
      </c>
      <c r="F176" s="16">
        <f>h_STRIPE_DELAI</f>
        <v/>
      </c>
      <c r="G176" s="16">
        <f>h_STRIPE_DELAI</f>
        <v/>
      </c>
      <c r="H176" s="16">
        <f>h_STRIPE_DELAI</f>
        <v/>
      </c>
      <c r="I176" s="16">
        <f>h_STRIPE_DELAI</f>
        <v/>
      </c>
      <c r="J176" s="16">
        <f>h_STRIPE_DELAI</f>
        <v/>
      </c>
      <c r="K176" s="16">
        <f>h_STRIPE_DELAI</f>
        <v/>
      </c>
      <c r="L176" s="16">
        <f>h_STRIPE_DELAI</f>
        <v/>
      </c>
      <c r="M176" s="16">
        <f>h_STRIPE_DELAI</f>
        <v/>
      </c>
      <c r="N176" s="16">
        <f>h_STRIPE_DELAI</f>
        <v/>
      </c>
      <c r="O176" s="16">
        <f>h_STRIPE_DELAI</f>
        <v/>
      </c>
      <c r="P176" s="16">
        <f>h_STRIPE_DELAI</f>
        <v/>
      </c>
      <c r="Q176" s="16">
        <f>h_STRIPE_DELAI</f>
        <v/>
      </c>
      <c r="R176" s="16">
        <f>h_STRIPE_DELAI</f>
        <v/>
      </c>
      <c r="S176" s="16">
        <f>h_STRIPE_DELAI</f>
        <v/>
      </c>
      <c r="T176" s="16">
        <f>h_STRIPE_DELAI</f>
        <v/>
      </c>
    </row>
    <row r="177">
      <c r="A177" t="inlineStr">
        <is>
          <t>delai_tts</t>
        </is>
      </c>
      <c r="B177" t="inlineStr">
        <is>
          <t>Délai d'encaissement TikTok Shop depuis la commande (jours)</t>
        </is>
      </c>
      <c r="C177" s="16">
        <f>0</f>
        <v/>
      </c>
      <c r="D177" s="16">
        <f>0</f>
        <v/>
      </c>
      <c r="E177" s="16">
        <f>h_TTS_LIVRAISON+h_TTS_DEBUTANT+h_TTS_VIREMENT</f>
        <v/>
      </c>
      <c r="F177" s="16">
        <f>h_TTS_LIVRAISON+h_TTS_DEBUTANT+h_TTS_VIREMENT</f>
        <v/>
      </c>
      <c r="G177" s="16">
        <f>h_TTS_LIVRAISON+h_TTS_DEBUTANT+h_TTS_VIREMENT</f>
        <v/>
      </c>
      <c r="H177" s="16">
        <f>h_TTS_LIVRAISON+h_TTS_STANDARD+h_TTS_VIREMENT</f>
        <v/>
      </c>
      <c r="I177" s="16">
        <f>h_TTS_LIVRAISON+h_TTS_STANDARD+h_TTS_VIREMENT</f>
        <v/>
      </c>
      <c r="J177" s="16">
        <f>h_TTS_LIVRAISON+h_TTS_STANDARD+h_TTS_VIREMENT</f>
        <v/>
      </c>
      <c r="K177" s="16">
        <f>h_TTS_LIVRAISON+h_TTS_STANDARD+h_TTS_VIREMENT</f>
        <v/>
      </c>
      <c r="L177" s="16">
        <f>h_TTS_LIVRAISON+h_TTS_STANDARD+h_TTS_VIREMENT</f>
        <v/>
      </c>
      <c r="M177" s="16">
        <f>h_TTS_LIVRAISON+h_TTS_STANDARD+h_TTS_VIREMENT</f>
        <v/>
      </c>
      <c r="N177" s="16">
        <f>h_TTS_LIVRAISON+h_TTS_STANDARD+h_TTS_VIREMENT</f>
        <v/>
      </c>
      <c r="O177" s="16">
        <f>h_TTS_LIVRAISON+h_TTS_STANDARD+h_TTS_VIREMENT</f>
        <v/>
      </c>
      <c r="P177" s="16">
        <f>h_TTS_LIVRAISON+h_TTS_STANDARD+h_TTS_VIREMENT</f>
        <v/>
      </c>
      <c r="Q177" s="16">
        <f>h_TTS_LIVRAISON+h_TTS_STANDARD+h_TTS_VIREMENT</f>
        <v/>
      </c>
      <c r="R177" s="16">
        <f>h_TTS_LIVRAISON+h_TTS_STANDARD+h_TTS_VIREMENT</f>
        <v/>
      </c>
      <c r="S177" s="16">
        <f>h_TTS_LIVRAISON+h_TTS_STANDARD+h_TTS_VIREMENT</f>
        <v/>
      </c>
      <c r="T177" s="16">
        <f>h_TTS_LIVRAISON+h_TTS_STANDARD+h_TTS_VIREMENT</f>
        <v/>
      </c>
    </row>
    <row r="178">
      <c r="A178" t="inlineStr">
        <is>
          <t>ff_structure</t>
        </is>
      </c>
      <c r="B178" t="inlineStr">
        <is>
          <t>Frais fixes : structure (comptable, banque)</t>
        </is>
      </c>
      <c r="C178" s="17" t="n">
        <v>100</v>
      </c>
      <c r="D178" s="17" t="n">
        <v>100</v>
      </c>
      <c r="E178" s="17" t="n">
        <v>100</v>
      </c>
      <c r="F178" s="17" t="n">
        <v>100</v>
      </c>
      <c r="G178" s="17" t="n">
        <v>100</v>
      </c>
      <c r="H178" s="17" t="n">
        <v>100</v>
      </c>
      <c r="I178" s="17" t="n">
        <v>100</v>
      </c>
      <c r="J178" s="17" t="n">
        <v>100</v>
      </c>
      <c r="K178" s="17" t="n">
        <v>100</v>
      </c>
      <c r="L178" s="17" t="n">
        <v>100</v>
      </c>
      <c r="M178" s="17" t="n">
        <v>100</v>
      </c>
      <c r="N178" s="17" t="n">
        <v>100</v>
      </c>
      <c r="O178" s="17" t="n">
        <v>210</v>
      </c>
      <c r="P178" s="17" t="n">
        <v>210</v>
      </c>
      <c r="Q178" s="17" t="n">
        <v>210</v>
      </c>
      <c r="R178" s="17" t="n">
        <v>210</v>
      </c>
      <c r="S178" s="17" t="n">
        <v>210</v>
      </c>
      <c r="T178" s="17" t="n">
        <v>210</v>
      </c>
    </row>
    <row r="179">
      <c r="A179" t="inlineStr">
        <is>
          <t>ff_conformite</t>
        </is>
      </c>
      <c r="B179" t="inlineStr">
        <is>
          <t>Frais fixes : conformité et ponctuels (médiateur, Léko, RC, INPI, EUIPO, domaine)</t>
        </is>
      </c>
      <c r="C179" s="17" t="n">
        <v>45</v>
      </c>
      <c r="D179" s="17" t="n">
        <v>155</v>
      </c>
      <c r="E179" s="17" t="n">
        <v>0</v>
      </c>
      <c r="F179" s="17" t="n">
        <v>0</v>
      </c>
      <c r="G179" s="17" t="n">
        <v>25</v>
      </c>
      <c r="H179" s="17" t="n">
        <v>25</v>
      </c>
      <c r="I179" s="17" t="n">
        <v>295</v>
      </c>
      <c r="J179" s="17" t="n">
        <v>25</v>
      </c>
      <c r="K179" s="17" t="n">
        <v>25</v>
      </c>
      <c r="L179" s="17" t="n">
        <v>25</v>
      </c>
      <c r="M179" s="17" t="n">
        <v>25</v>
      </c>
      <c r="N179" s="17" t="n">
        <v>25</v>
      </c>
      <c r="O179" s="17" t="n">
        <v>935</v>
      </c>
      <c r="P179" s="17" t="n">
        <v>120</v>
      </c>
      <c r="Q179" s="17" t="n">
        <v>25</v>
      </c>
      <c r="R179" s="17" t="n">
        <v>25</v>
      </c>
      <c r="S179" s="17" t="n">
        <v>25</v>
      </c>
      <c r="T179" s="17" t="n">
        <v>25</v>
      </c>
    </row>
    <row r="180">
      <c r="A180" t="inlineStr">
        <is>
          <t>ff_outils</t>
        </is>
      </c>
      <c r="B180" t="inlineStr">
        <is>
          <t>Frais fixes : outils, Shopify, domiciliation</t>
        </is>
      </c>
      <c r="C180" s="17" t="n">
        <v>0</v>
      </c>
      <c r="D180" s="17" t="n">
        <v>0</v>
      </c>
      <c r="E180" s="17" t="n">
        <v>10</v>
      </c>
      <c r="F180" s="17" t="n">
        <v>10</v>
      </c>
      <c r="G180" s="17" t="n">
        <v>10</v>
      </c>
      <c r="H180" s="17" t="n">
        <v>10</v>
      </c>
      <c r="I180" s="17" t="n">
        <v>10</v>
      </c>
      <c r="J180" s="17" t="n">
        <v>10</v>
      </c>
      <c r="K180" s="17" t="n">
        <v>10</v>
      </c>
      <c r="L180" s="17" t="n">
        <v>35</v>
      </c>
      <c r="M180" s="17" t="n">
        <v>35</v>
      </c>
      <c r="N180" s="17" t="n">
        <v>35</v>
      </c>
      <c r="O180" s="17" t="n">
        <v>85.86</v>
      </c>
      <c r="P180" s="17" t="n">
        <v>85.86</v>
      </c>
      <c r="Q180" s="17" t="n">
        <v>85.86</v>
      </c>
      <c r="R180" s="17" t="n">
        <v>121</v>
      </c>
      <c r="S180" s="17" t="n">
        <v>121</v>
      </c>
      <c r="T180" s="17" t="n">
        <v>121</v>
      </c>
    </row>
    <row r="181">
      <c r="A181" t="inlineStr">
        <is>
          <t>ff_import</t>
        </is>
      </c>
      <c r="B181" t="inlineStr">
        <is>
          <t>Frais fixes : import et stockage 3PL</t>
        </is>
      </c>
      <c r="C181" s="17" t="n">
        <v>0</v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210</v>
      </c>
      <c r="P181" s="17" t="n">
        <v>210</v>
      </c>
      <c r="Q181" s="17" t="n">
        <v>210</v>
      </c>
      <c r="R181" s="17" t="n">
        <v>210</v>
      </c>
      <c r="S181" s="17" t="n">
        <v>210</v>
      </c>
      <c r="T181" s="17" t="n">
        <v>210</v>
      </c>
    </row>
    <row r="182">
      <c r="A182" t="inlineStr">
        <is>
          <t>ff_personnel</t>
        </is>
      </c>
      <c r="B182" t="inlineStr">
        <is>
          <t>Frais fixes : personnel</t>
        </is>
      </c>
      <c r="C182" s="17" t="n">
        <v>0</v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7" t="n">
        <v>0</v>
      </c>
      <c r="R182" s="17" t="n">
        <v>0</v>
      </c>
      <c r="S182" s="17" t="n">
        <v>0</v>
      </c>
      <c r="T182" s="17" t="n">
        <v>0</v>
      </c>
    </row>
    <row r="184">
      <c r="A184" s="4" t="inlineStr">
        <is>
          <t>Scénario optimiste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</row>
    <row r="185">
      <c r="A185" s="3" t="inlineStr">
        <is>
          <t>Ligne</t>
        </is>
      </c>
      <c r="B185" s="3" t="inlineStr">
        <is>
          <t>Libellé</t>
        </is>
      </c>
      <c r="C185" s="3" t="inlineStr">
        <is>
          <t>oct. 2026</t>
        </is>
      </c>
      <c r="D185" s="3" t="inlineStr">
        <is>
          <t>nov. 2026</t>
        </is>
      </c>
      <c r="E185" s="3" t="inlineStr">
        <is>
          <t>déc. 2026</t>
        </is>
      </c>
      <c r="F185" s="3" t="inlineStr">
        <is>
          <t>janv. 2027</t>
        </is>
      </c>
      <c r="G185" s="3" t="inlineStr">
        <is>
          <t>févr. 2027</t>
        </is>
      </c>
      <c r="H185" s="3" t="inlineStr">
        <is>
          <t>mars 2027</t>
        </is>
      </c>
      <c r="I185" s="3" t="inlineStr">
        <is>
          <t>avr. 2027</t>
        </is>
      </c>
      <c r="J185" s="3" t="inlineStr">
        <is>
          <t>mai 2027</t>
        </is>
      </c>
      <c r="K185" s="3" t="inlineStr">
        <is>
          <t>juin 2027</t>
        </is>
      </c>
      <c r="L185" s="3" t="inlineStr">
        <is>
          <t>juil. 2027</t>
        </is>
      </c>
      <c r="M185" s="3" t="inlineStr">
        <is>
          <t>août 2027</t>
        </is>
      </c>
      <c r="N185" s="3" t="inlineStr">
        <is>
          <t>sept. 2027</t>
        </is>
      </c>
      <c r="O185" s="3" t="inlineStr">
        <is>
          <t>oct. 2027</t>
        </is>
      </c>
      <c r="P185" s="3" t="inlineStr">
        <is>
          <t>nov. 2027</t>
        </is>
      </c>
      <c r="Q185" s="3" t="inlineStr">
        <is>
          <t>déc. 2027</t>
        </is>
      </c>
      <c r="R185" s="3" t="inlineStr">
        <is>
          <t>janv. 2028</t>
        </is>
      </c>
      <c r="S185" s="3" t="inlineStr">
        <is>
          <t>févr. 2028</t>
        </is>
      </c>
      <c r="T185" s="3" t="inlineStr">
        <is>
          <t>mars 2028</t>
        </is>
      </c>
    </row>
    <row r="186">
      <c r="A186" t="inlineStr">
        <is>
          <t>exercice</t>
        </is>
      </c>
      <c r="B186" t="inlineStr">
        <is>
          <t>Exercice fiscal</t>
        </is>
      </c>
      <c r="C186" s="9" t="n">
        <v>2026</v>
      </c>
      <c r="D186" s="9" t="n">
        <v>2026</v>
      </c>
      <c r="E186" s="9" t="n">
        <v>2026</v>
      </c>
      <c r="F186" s="9" t="n">
        <v>2027</v>
      </c>
      <c r="G186" s="9" t="n">
        <v>2027</v>
      </c>
      <c r="H186" s="9" t="n">
        <v>2027</v>
      </c>
      <c r="I186" s="9" t="n">
        <v>2027</v>
      </c>
      <c r="J186" s="9" t="n">
        <v>2027</v>
      </c>
      <c r="K186" s="9" t="n">
        <v>2027</v>
      </c>
      <c r="L186" s="9" t="n">
        <v>2027</v>
      </c>
      <c r="M186" s="9" t="n">
        <v>2027</v>
      </c>
      <c r="N186" s="9" t="n">
        <v>2027</v>
      </c>
      <c r="O186" s="9" t="n">
        <v>2027</v>
      </c>
      <c r="P186" s="9" t="n">
        <v>2027</v>
      </c>
      <c r="Q186" s="9" t="n">
        <v>2027</v>
      </c>
      <c r="R186" s="9" t="n">
        <v>2028</v>
      </c>
      <c r="S186" s="9" t="n">
        <v>2028</v>
      </c>
      <c r="T186" s="9" t="n">
        <v>2028</v>
      </c>
    </row>
    <row r="187">
      <c r="A187" t="inlineStr">
        <is>
          <t>cmd_org</t>
        </is>
      </c>
      <c r="B187" t="inlineStr">
        <is>
          <t>Commandes organiques (tous canaux)</t>
        </is>
      </c>
      <c r="C187" s="10" t="n">
        <v>0</v>
      </c>
      <c r="D187" s="10" t="n">
        <v>30</v>
      </c>
      <c r="E187" s="10" t="n">
        <v>200</v>
      </c>
      <c r="F187" s="10" t="n">
        <v>230</v>
      </c>
      <c r="G187" s="10" t="n">
        <v>280</v>
      </c>
      <c r="H187" s="10" t="n">
        <v>360</v>
      </c>
      <c r="I187" s="10" t="n">
        <v>430</v>
      </c>
      <c r="J187" s="10" t="n">
        <v>500</v>
      </c>
      <c r="K187" s="10" t="n">
        <v>560</v>
      </c>
      <c r="L187" s="10" t="n">
        <v>600</v>
      </c>
      <c r="M187" s="10" t="n">
        <v>640</v>
      </c>
      <c r="N187" s="10" t="n">
        <v>720</v>
      </c>
      <c r="O187" s="10" t="n">
        <v>850</v>
      </c>
      <c r="P187" s="10" t="n">
        <v>1050</v>
      </c>
      <c r="Q187" s="10" t="n">
        <v>1300</v>
      </c>
      <c r="R187" s="10" t="n">
        <v>1050</v>
      </c>
      <c r="S187" s="10" t="n">
        <v>1150</v>
      </c>
      <c r="T187" s="10" t="n">
        <v>1300</v>
      </c>
    </row>
    <row r="188">
      <c r="A188" t="inlineStr">
        <is>
          <t>part_site</t>
        </is>
      </c>
      <c r="B188" t="inlineStr">
        <is>
          <t>Part du site</t>
        </is>
      </c>
      <c r="C188" s="6" t="n">
        <v>1</v>
      </c>
      <c r="D188" s="6" t="n">
        <v>1</v>
      </c>
      <c r="E188" s="6" t="n">
        <v>0.3</v>
      </c>
      <c r="F188" s="6" t="n">
        <v>0.25</v>
      </c>
      <c r="G188" s="6" t="n">
        <v>0.2</v>
      </c>
      <c r="H188" s="6" t="n">
        <v>0.2</v>
      </c>
      <c r="I188" s="6" t="n">
        <v>0.2</v>
      </c>
      <c r="J188" s="6" t="n">
        <v>0.2</v>
      </c>
      <c r="K188" s="6" t="n">
        <v>0.2</v>
      </c>
      <c r="L188" s="6" t="n">
        <v>0.2</v>
      </c>
      <c r="M188" s="6" t="n">
        <v>0.2</v>
      </c>
      <c r="N188" s="6" t="n">
        <v>0.2</v>
      </c>
      <c r="O188" s="6" t="n">
        <v>0.2</v>
      </c>
      <c r="P188" s="6" t="n">
        <v>0.2</v>
      </c>
      <c r="Q188" s="6" t="n">
        <v>0.2</v>
      </c>
      <c r="R188" s="6" t="n">
        <v>0.2</v>
      </c>
      <c r="S188" s="6" t="n">
        <v>0.2</v>
      </c>
      <c r="T188" s="6" t="n">
        <v>0.2</v>
      </c>
    </row>
    <row r="189">
      <c r="A189" t="inlineStr">
        <is>
          <t>part_propre</t>
        </is>
      </c>
      <c r="B189" t="inlineStr">
        <is>
          <t>Part TikTok Shop, contenu propre</t>
        </is>
      </c>
      <c r="C189" s="6" t="n">
        <v>0</v>
      </c>
      <c r="D189" s="6" t="n">
        <v>0</v>
      </c>
      <c r="E189" s="6" t="n">
        <v>0.5</v>
      </c>
      <c r="F189" s="6" t="n">
        <v>0.35</v>
      </c>
      <c r="G189" s="6" t="n">
        <v>0.22</v>
      </c>
      <c r="H189" s="6" t="n">
        <v>0.22</v>
      </c>
      <c r="I189" s="6" t="n">
        <v>0.22</v>
      </c>
      <c r="J189" s="6" t="n">
        <v>0.22</v>
      </c>
      <c r="K189" s="6" t="n">
        <v>0.22</v>
      </c>
      <c r="L189" s="6" t="n">
        <v>0.22</v>
      </c>
      <c r="M189" s="6" t="n">
        <v>0.22</v>
      </c>
      <c r="N189" s="6" t="n">
        <v>0.22</v>
      </c>
      <c r="O189" s="6" t="n">
        <v>0.22</v>
      </c>
      <c r="P189" s="6" t="n">
        <v>0.22</v>
      </c>
      <c r="Q189" s="6" t="n">
        <v>0.22</v>
      </c>
      <c r="R189" s="6" t="n">
        <v>0.22</v>
      </c>
      <c r="S189" s="6" t="n">
        <v>0.22</v>
      </c>
      <c r="T189" s="6" t="n">
        <v>0.22</v>
      </c>
    </row>
    <row r="190">
      <c r="A190" t="inlineStr">
        <is>
          <t>part_aff</t>
        </is>
      </c>
      <c r="B190" t="inlineStr">
        <is>
          <t>Part TikTok Shop, affiliés</t>
        </is>
      </c>
      <c r="C190" s="6" t="n">
        <v>0</v>
      </c>
      <c r="D190" s="6" t="n">
        <v>0</v>
      </c>
      <c r="E190" s="6" t="n">
        <v>0.2</v>
      </c>
      <c r="F190" s="6" t="n">
        <v>0.4</v>
      </c>
      <c r="G190" s="6" t="n">
        <v>0.58</v>
      </c>
      <c r="H190" s="6" t="n">
        <v>0.58</v>
      </c>
      <c r="I190" s="6" t="n">
        <v>0.58</v>
      </c>
      <c r="J190" s="6" t="n">
        <v>0.58</v>
      </c>
      <c r="K190" s="6" t="n">
        <v>0.58</v>
      </c>
      <c r="L190" s="6" t="n">
        <v>0.58</v>
      </c>
      <c r="M190" s="6" t="n">
        <v>0.58</v>
      </c>
      <c r="N190" s="6" t="n">
        <v>0.58</v>
      </c>
      <c r="O190" s="6" t="n">
        <v>0.58</v>
      </c>
      <c r="P190" s="6" t="n">
        <v>0.58</v>
      </c>
      <c r="Q190" s="6" t="n">
        <v>0.58</v>
      </c>
      <c r="R190" s="6" t="n">
        <v>0.58</v>
      </c>
      <c r="S190" s="6" t="n">
        <v>0.58</v>
      </c>
      <c r="T190" s="6" t="n">
        <v>0.58</v>
      </c>
    </row>
    <row r="191">
      <c r="A191" t="inlineStr">
        <is>
          <t>taux_tts</t>
        </is>
      </c>
      <c r="B191" t="inlineStr">
        <is>
          <t>Commission TikTok Shop</t>
        </is>
      </c>
      <c r="C191" s="11">
        <f>h_TTS_COMM</f>
        <v/>
      </c>
      <c r="D191" s="11">
        <f>h_TTS_COMM</f>
        <v/>
      </c>
      <c r="E191" s="11">
        <f>h_TTS_COMM_LANCEMENT</f>
        <v/>
      </c>
      <c r="F191" s="11">
        <f>h_TTS_COMM_LANCEMENT</f>
        <v/>
      </c>
      <c r="G191" s="11">
        <f>h_TTS_COMM</f>
        <v/>
      </c>
      <c r="H191" s="11">
        <f>h_TTS_COMM</f>
        <v/>
      </c>
      <c r="I191" s="11">
        <f>h_TTS_COMM</f>
        <v/>
      </c>
      <c r="J191" s="11">
        <f>h_TTS_COMM</f>
        <v/>
      </c>
      <c r="K191" s="11">
        <f>h_TTS_COMM</f>
        <v/>
      </c>
      <c r="L191" s="11">
        <f>h_TTS_COMM</f>
        <v/>
      </c>
      <c r="M191" s="11">
        <f>h_TTS_COMM</f>
        <v/>
      </c>
      <c r="N191" s="11">
        <f>h_TTS_COMM</f>
        <v/>
      </c>
      <c r="O191" s="11">
        <f>h_TTS_COMM</f>
        <v/>
      </c>
      <c r="P191" s="11">
        <f>h_TTS_COMM</f>
        <v/>
      </c>
      <c r="Q191" s="11">
        <f>h_TTS_COMM</f>
        <v/>
      </c>
      <c r="R191" s="11">
        <f>h_TTS_COMM</f>
        <v/>
      </c>
      <c r="S191" s="11">
        <f>h_TTS_COMM</f>
        <v/>
      </c>
      <c r="T191" s="11">
        <f>h_TTS_COMM</f>
        <v/>
      </c>
    </row>
    <row r="192">
      <c r="A192" t="inlineStr">
        <is>
          <t>import</t>
        </is>
      </c>
      <c r="B192" t="inlineStr">
        <is>
          <t>Phase import groupé + 3PL (1 = oui)</t>
        </is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1</v>
      </c>
      <c r="L192" s="12" t="n">
        <v>1</v>
      </c>
      <c r="M192" s="12" t="n">
        <v>1</v>
      </c>
      <c r="N192" s="12" t="n">
        <v>1</v>
      </c>
      <c r="O192" s="12" t="n">
        <v>1</v>
      </c>
      <c r="P192" s="12" t="n">
        <v>1</v>
      </c>
      <c r="Q192" s="12" t="n">
        <v>1</v>
      </c>
      <c r="R192" s="12" t="n">
        <v>1</v>
      </c>
      <c r="S192" s="12" t="n">
        <v>1</v>
      </c>
      <c r="T192" s="12" t="n">
        <v>1</v>
      </c>
    </row>
    <row r="193">
      <c r="A193" t="inlineStr">
        <is>
          <t>pub</t>
        </is>
      </c>
      <c r="B193" t="inlineStr">
        <is>
          <t>Budget publicitaire</t>
        </is>
      </c>
      <c r="C193" s="13" t="n">
        <v>0</v>
      </c>
      <c r="D193" s="13" t="n">
        <v>0</v>
      </c>
      <c r="E193" s="13" t="n">
        <v>0</v>
      </c>
      <c r="F193" s="13" t="n">
        <v>0</v>
      </c>
      <c r="G193" s="13" t="n">
        <v>0</v>
      </c>
      <c r="H193" s="13" t="n">
        <v>0</v>
      </c>
      <c r="I193" s="13" t="n">
        <v>0</v>
      </c>
      <c r="J193" s="13" t="n">
        <v>0</v>
      </c>
      <c r="K193" s="13" t="n">
        <v>0</v>
      </c>
      <c r="L193" s="13" t="n">
        <v>500</v>
      </c>
      <c r="M193" s="13" t="n">
        <v>1000</v>
      </c>
      <c r="N193" s="13" t="n">
        <v>2000</v>
      </c>
      <c r="O193" s="13" t="n">
        <v>3000</v>
      </c>
      <c r="P193" s="13" t="n">
        <v>4500</v>
      </c>
      <c r="Q193" s="13" t="n">
        <v>6000</v>
      </c>
      <c r="R193" s="13" t="n">
        <v>5000</v>
      </c>
      <c r="S193" s="13" t="n">
        <v>6000</v>
      </c>
      <c r="T193" s="13" t="n">
        <v>7000</v>
      </c>
    </row>
    <row r="194">
      <c r="A194" t="inlineStr">
        <is>
          <t>cpa</t>
        </is>
      </c>
      <c r="B194" t="inlineStr">
        <is>
          <t>CPA</t>
        </is>
      </c>
      <c r="C194" s="14">
        <f>h_CPA_OPTIMISTE</f>
        <v/>
      </c>
      <c r="D194" s="14">
        <f>h_CPA_OPTIMISTE</f>
        <v/>
      </c>
      <c r="E194" s="14">
        <f>h_CPA_OPTIMISTE</f>
        <v/>
      </c>
      <c r="F194" s="14">
        <f>h_CPA_OPTIMISTE</f>
        <v/>
      </c>
      <c r="G194" s="14">
        <f>h_CPA_OPTIMISTE</f>
        <v/>
      </c>
      <c r="H194" s="14">
        <f>h_CPA_OPTIMISTE</f>
        <v/>
      </c>
      <c r="I194" s="14">
        <f>h_CPA_OPTIMISTE</f>
        <v/>
      </c>
      <c r="J194" s="14">
        <f>h_CPA_OPTIMISTE</f>
        <v/>
      </c>
      <c r="K194" s="14">
        <f>h_CPA_OPTIMISTE</f>
        <v/>
      </c>
      <c r="L194" s="14">
        <f>h_CPA_OPTIMISTE</f>
        <v/>
      </c>
      <c r="M194" s="14">
        <f>h_CPA_OPTIMISTE</f>
        <v/>
      </c>
      <c r="N194" s="14">
        <f>h_CPA_OPTIMISTE</f>
        <v/>
      </c>
      <c r="O194" s="14">
        <f>h_CPA_OPTIMISTE</f>
        <v/>
      </c>
      <c r="P194" s="14">
        <f>h_CPA_OPTIMISTE</f>
        <v/>
      </c>
      <c r="Q194" s="14">
        <f>h_CPA_OPTIMISTE</f>
        <v/>
      </c>
      <c r="R194" s="14">
        <f>h_CPA_OPTIMISTE</f>
        <v/>
      </c>
      <c r="S194" s="14">
        <f>h_CPA_OPTIMISTE</f>
        <v/>
      </c>
      <c r="T194" s="14">
        <f>h_CPA_OPTIMISTE</f>
        <v/>
      </c>
    </row>
    <row r="195">
      <c r="A195" t="inlineStr">
        <is>
          <t>ech</t>
        </is>
      </c>
      <c r="B195" t="inlineStr">
        <is>
          <t>Échantillons créateurs</t>
        </is>
      </c>
      <c r="C195" s="13" t="n">
        <v>0</v>
      </c>
      <c r="D195" s="13" t="n">
        <v>0</v>
      </c>
      <c r="E195" s="13" t="n">
        <v>100</v>
      </c>
      <c r="F195" s="13" t="n">
        <v>250</v>
      </c>
      <c r="G195" s="13" t="n">
        <v>250</v>
      </c>
      <c r="H195" s="13" t="n">
        <v>200</v>
      </c>
      <c r="I195" s="13" t="n">
        <v>200</v>
      </c>
      <c r="J195" s="13" t="n">
        <v>200</v>
      </c>
      <c r="K195" s="13" t="n">
        <v>200</v>
      </c>
      <c r="L195" s="13" t="n">
        <v>200</v>
      </c>
      <c r="M195" s="13" t="n">
        <v>250</v>
      </c>
      <c r="N195" s="13" t="n">
        <v>250</v>
      </c>
      <c r="O195" s="13" t="n">
        <v>300</v>
      </c>
      <c r="P195" s="13" t="n">
        <v>300</v>
      </c>
      <c r="Q195" s="13" t="n">
        <v>300</v>
      </c>
      <c r="R195" s="13" t="n">
        <v>300</v>
      </c>
      <c r="S195" s="13" t="n">
        <v>300</v>
      </c>
      <c r="T195" s="13" t="n">
        <v>300</v>
      </c>
    </row>
    <row r="196">
      <c r="A196" t="inlineStr">
        <is>
          <t>couverture</t>
        </is>
      </c>
      <c r="B196" t="inlineStr">
        <is>
          <t>Stock détenu en fin de mois (mois de ventes suivantes)</t>
        </is>
      </c>
      <c r="C196" s="15">
        <f>0</f>
        <v/>
      </c>
      <c r="D196" s="15">
        <f>h_COUV_MICRO</f>
        <v/>
      </c>
      <c r="E196" s="15">
        <f>h_COUV_MICRO</f>
        <v/>
      </c>
      <c r="F196" s="15">
        <f>h_COUV_MICRO</f>
        <v/>
      </c>
      <c r="G196" s="15">
        <f>h_COUV_MICRO</f>
        <v/>
      </c>
      <c r="H196" s="15">
        <f>h_COUV_MICRO</f>
        <v/>
      </c>
      <c r="I196" s="15">
        <f>h_COUV_MICRO</f>
        <v/>
      </c>
      <c r="J196" s="15">
        <f>h_COUV_IMPORT</f>
        <v/>
      </c>
      <c r="K196" s="15">
        <f>h_COUV_IMPORT</f>
        <v/>
      </c>
      <c r="L196" s="15">
        <f>h_COUV_IMPORT</f>
        <v/>
      </c>
      <c r="M196" s="15">
        <f>h_COUV_IMPORT</f>
        <v/>
      </c>
      <c r="N196" s="15">
        <f>h_COUV_IMPORT</f>
        <v/>
      </c>
      <c r="O196" s="15">
        <f>h_COUV_IMPORT</f>
        <v/>
      </c>
      <c r="P196" s="15">
        <f>h_COUV_IMPORT</f>
        <v/>
      </c>
      <c r="Q196" s="15">
        <f>h_COUV_IMPORT</f>
        <v/>
      </c>
      <c r="R196" s="15">
        <f>h_COUV_IMPORT</f>
        <v/>
      </c>
      <c r="S196" s="15">
        <f>h_COUV_IMPORT</f>
        <v/>
      </c>
      <c r="T196" s="15">
        <f>h_COUV_IMPORT</f>
        <v/>
      </c>
    </row>
    <row r="197">
      <c r="A197" t="inlineStr">
        <is>
          <t>delai_site</t>
        </is>
      </c>
      <c r="B197" t="inlineStr">
        <is>
          <t>Délai d'encaissement du site (jours)</t>
        </is>
      </c>
      <c r="C197" s="16">
        <f>h_STRIPE_DELAI</f>
        <v/>
      </c>
      <c r="D197" s="16">
        <f>h_STRIPE_DELAI_INITIAL</f>
        <v/>
      </c>
      <c r="E197" s="16">
        <f>h_STRIPE_DELAI</f>
        <v/>
      </c>
      <c r="F197" s="16">
        <f>h_STRIPE_DELAI</f>
        <v/>
      </c>
      <c r="G197" s="16">
        <f>h_STRIPE_DELAI</f>
        <v/>
      </c>
      <c r="H197" s="16">
        <f>h_STRIPE_DELAI</f>
        <v/>
      </c>
      <c r="I197" s="16">
        <f>h_STRIPE_DELAI</f>
        <v/>
      </c>
      <c r="J197" s="16">
        <f>h_STRIPE_DELAI</f>
        <v/>
      </c>
      <c r="K197" s="16">
        <f>h_STRIPE_DELAI</f>
        <v/>
      </c>
      <c r="L197" s="16">
        <f>h_STRIPE_DELAI</f>
        <v/>
      </c>
      <c r="M197" s="16">
        <f>h_STRIPE_DELAI</f>
        <v/>
      </c>
      <c r="N197" s="16">
        <f>h_STRIPE_DELAI</f>
        <v/>
      </c>
      <c r="O197" s="16">
        <f>h_STRIPE_DELAI</f>
        <v/>
      </c>
      <c r="P197" s="16">
        <f>h_STRIPE_DELAI</f>
        <v/>
      </c>
      <c r="Q197" s="16">
        <f>h_STRIPE_DELAI</f>
        <v/>
      </c>
      <c r="R197" s="16">
        <f>h_STRIPE_DELAI</f>
        <v/>
      </c>
      <c r="S197" s="16">
        <f>h_STRIPE_DELAI</f>
        <v/>
      </c>
      <c r="T197" s="16">
        <f>h_STRIPE_DELAI</f>
        <v/>
      </c>
    </row>
    <row r="198">
      <c r="A198" t="inlineStr">
        <is>
          <t>delai_tts</t>
        </is>
      </c>
      <c r="B198" t="inlineStr">
        <is>
          <t>Délai d'encaissement TikTok Shop depuis la commande (jours)</t>
        </is>
      </c>
      <c r="C198" s="16">
        <f>0</f>
        <v/>
      </c>
      <c r="D198" s="16">
        <f>0</f>
        <v/>
      </c>
      <c r="E198" s="16">
        <f>h_TTS_LIVRAISON+h_TTS_DEBUTANT+h_TTS_VIREMENT</f>
        <v/>
      </c>
      <c r="F198" s="16">
        <f>h_TTS_LIVRAISON+h_TTS_DEBUTANT+h_TTS_VIREMENT</f>
        <v/>
      </c>
      <c r="G198" s="16">
        <f>h_TTS_LIVRAISON+h_TTS_DEBUTANT+h_TTS_VIREMENT</f>
        <v/>
      </c>
      <c r="H198" s="16">
        <f>h_TTS_LIVRAISON+h_TTS_STANDARD+h_TTS_VIREMENT</f>
        <v/>
      </c>
      <c r="I198" s="16">
        <f>h_TTS_LIVRAISON+h_TTS_STANDARD+h_TTS_VIREMENT</f>
        <v/>
      </c>
      <c r="J198" s="16">
        <f>h_TTS_LIVRAISON+h_TTS_STANDARD+h_TTS_VIREMENT</f>
        <v/>
      </c>
      <c r="K198" s="16">
        <f>h_TTS_LIVRAISON+h_TTS_ACCELERE+h_TTS_VIREMENT</f>
        <v/>
      </c>
      <c r="L198" s="16">
        <f>h_TTS_LIVRAISON+h_TTS_ACCELERE+h_TTS_VIREMENT</f>
        <v/>
      </c>
      <c r="M198" s="16">
        <f>h_TTS_LIVRAISON+h_TTS_ACCELERE+h_TTS_VIREMENT</f>
        <v/>
      </c>
      <c r="N198" s="16">
        <f>h_TTS_LIVRAISON+h_TTS_ACCELERE+h_TTS_VIREMENT</f>
        <v/>
      </c>
      <c r="O198" s="16">
        <f>h_TTS_LIVRAISON+h_TTS_ACCELERE+h_TTS_VIREMENT</f>
        <v/>
      </c>
      <c r="P198" s="16">
        <f>h_TTS_LIVRAISON+h_TTS_ACCELERE+h_TTS_VIREMENT</f>
        <v/>
      </c>
      <c r="Q198" s="16">
        <f>h_TTS_LIVRAISON+h_TTS_ACCELERE+h_TTS_VIREMENT</f>
        <v/>
      </c>
      <c r="R198" s="16">
        <f>h_TTS_LIVRAISON+h_TTS_ACCELERE+h_TTS_VIREMENT</f>
        <v/>
      </c>
      <c r="S198" s="16">
        <f>h_TTS_LIVRAISON+h_TTS_ACCELERE+h_TTS_VIREMENT</f>
        <v/>
      </c>
      <c r="T198" s="16">
        <f>h_TTS_LIVRAISON+h_TTS_ACCELERE+h_TTS_VIREMENT</f>
        <v/>
      </c>
    </row>
    <row r="199">
      <c r="A199" t="inlineStr">
        <is>
          <t>ff_structure</t>
        </is>
      </c>
      <c r="B199" t="inlineStr">
        <is>
          <t>Frais fixes : structure (comptable, banque)</t>
        </is>
      </c>
      <c r="C199" s="17" t="n">
        <v>100</v>
      </c>
      <c r="D199" s="17" t="n">
        <v>100</v>
      </c>
      <c r="E199" s="17" t="n">
        <v>100</v>
      </c>
      <c r="F199" s="17" t="n">
        <v>100</v>
      </c>
      <c r="G199" s="17" t="n">
        <v>100</v>
      </c>
      <c r="H199" s="17" t="n">
        <v>100</v>
      </c>
      <c r="I199" s="17" t="n">
        <v>100</v>
      </c>
      <c r="J199" s="17" t="n">
        <v>100</v>
      </c>
      <c r="K199" s="17" t="n">
        <v>210</v>
      </c>
      <c r="L199" s="17" t="n">
        <v>210</v>
      </c>
      <c r="M199" s="17" t="n">
        <v>210</v>
      </c>
      <c r="N199" s="17" t="n">
        <v>210</v>
      </c>
      <c r="O199" s="17" t="n">
        <v>210</v>
      </c>
      <c r="P199" s="17" t="n">
        <v>210</v>
      </c>
      <c r="Q199" s="17" t="n">
        <v>210</v>
      </c>
      <c r="R199" s="17" t="n">
        <v>210</v>
      </c>
      <c r="S199" s="17" t="n">
        <v>210</v>
      </c>
      <c r="T199" s="17" t="n">
        <v>210</v>
      </c>
    </row>
    <row r="200">
      <c r="A200" t="inlineStr">
        <is>
          <t>ff_conformite</t>
        </is>
      </c>
      <c r="B200" t="inlineStr">
        <is>
          <t>Frais fixes : conformité et ponctuels (médiateur, Léko, RC, INPI, EUIPO, domaine)</t>
        </is>
      </c>
      <c r="C200" s="17" t="n">
        <v>45</v>
      </c>
      <c r="D200" s="17" t="n">
        <v>155</v>
      </c>
      <c r="E200" s="17" t="n">
        <v>270</v>
      </c>
      <c r="F200" s="17" t="n">
        <v>0</v>
      </c>
      <c r="G200" s="17" t="n">
        <v>25</v>
      </c>
      <c r="H200" s="17" t="n">
        <v>25</v>
      </c>
      <c r="I200" s="17" t="n">
        <v>25</v>
      </c>
      <c r="J200" s="17" t="n">
        <v>25</v>
      </c>
      <c r="K200" s="17" t="n">
        <v>925</v>
      </c>
      <c r="L200" s="17" t="n">
        <v>25</v>
      </c>
      <c r="M200" s="17" t="n">
        <v>25</v>
      </c>
      <c r="N200" s="17" t="n">
        <v>25</v>
      </c>
      <c r="O200" s="17" t="n">
        <v>35</v>
      </c>
      <c r="P200" s="17" t="n">
        <v>120</v>
      </c>
      <c r="Q200" s="17" t="n">
        <v>25</v>
      </c>
      <c r="R200" s="17" t="n">
        <v>25</v>
      </c>
      <c r="S200" s="17" t="n">
        <v>25</v>
      </c>
      <c r="T200" s="17" t="n">
        <v>25</v>
      </c>
    </row>
    <row r="201">
      <c r="A201" t="inlineStr">
        <is>
          <t>ff_outils</t>
        </is>
      </c>
      <c r="B201" t="inlineStr">
        <is>
          <t>Frais fixes : outils, Shopify, domiciliation</t>
        </is>
      </c>
      <c r="C201" s="17" t="n">
        <v>0</v>
      </c>
      <c r="D201" s="17" t="n">
        <v>0</v>
      </c>
      <c r="E201" s="17" t="n">
        <v>35</v>
      </c>
      <c r="F201" s="17" t="n">
        <v>35</v>
      </c>
      <c r="G201" s="17" t="n">
        <v>35</v>
      </c>
      <c r="H201" s="17" t="n">
        <v>35</v>
      </c>
      <c r="I201" s="17" t="n">
        <v>35</v>
      </c>
      <c r="J201" s="17" t="n">
        <v>35</v>
      </c>
      <c r="K201" s="17" t="n">
        <v>85.86</v>
      </c>
      <c r="L201" s="17" t="n">
        <v>85.86</v>
      </c>
      <c r="M201" s="17" t="n">
        <v>85.86</v>
      </c>
      <c r="N201" s="17" t="n">
        <v>121</v>
      </c>
      <c r="O201" s="17" t="n">
        <v>121</v>
      </c>
      <c r="P201" s="17" t="n">
        <v>190</v>
      </c>
      <c r="Q201" s="17" t="n">
        <v>190</v>
      </c>
      <c r="R201" s="17" t="n">
        <v>190</v>
      </c>
      <c r="S201" s="17" t="n">
        <v>190</v>
      </c>
      <c r="T201" s="17" t="n">
        <v>190</v>
      </c>
    </row>
    <row r="202">
      <c r="A202" t="inlineStr">
        <is>
          <t>ff_import</t>
        </is>
      </c>
      <c r="B202" t="inlineStr">
        <is>
          <t>Frais fixes : import et stockage 3PL</t>
        </is>
      </c>
      <c r="C202" s="17" t="n">
        <v>0</v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0</v>
      </c>
      <c r="K202" s="17" t="n">
        <v>210</v>
      </c>
      <c r="L202" s="17" t="n">
        <v>210</v>
      </c>
      <c r="M202" s="17" t="n">
        <v>210</v>
      </c>
      <c r="N202" s="17" t="n">
        <v>210</v>
      </c>
      <c r="O202" s="17" t="n">
        <v>210</v>
      </c>
      <c r="P202" s="17" t="n">
        <v>210</v>
      </c>
      <c r="Q202" s="17" t="n">
        <v>210</v>
      </c>
      <c r="R202" s="17" t="n">
        <v>210</v>
      </c>
      <c r="S202" s="17" t="n">
        <v>210</v>
      </c>
      <c r="T202" s="17" t="n">
        <v>210</v>
      </c>
    </row>
    <row r="203">
      <c r="A203" t="inlineStr">
        <is>
          <t>ff_personnel</t>
        </is>
      </c>
      <c r="B203" t="inlineStr">
        <is>
          <t>Frais fixes : personnel</t>
        </is>
      </c>
      <c r="C203" s="17" t="n">
        <v>0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2300</v>
      </c>
      <c r="P203" s="17" t="n">
        <v>2300</v>
      </c>
      <c r="Q203" s="17" t="n">
        <v>2300</v>
      </c>
      <c r="R203" s="17" t="n">
        <v>2300</v>
      </c>
      <c r="S203" s="17" t="n">
        <v>2300</v>
      </c>
      <c r="T203" s="17" t="n">
        <v>2300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Unit economics par commande (€)</t>
        </is>
      </c>
    </row>
    <row r="2">
      <c r="A2" s="2" t="inlineStr">
        <is>
          <t>Marge de contribution = CA HT − coûts variables (produit, droits, livraison, paiement, commissions, provision 5 % du CA HT). En franchise et en micro-entreprise, le CA est le prix payé et les coûts portent la TVA non récupérable (×1,2), sauf les frais de paiement.</t>
        </is>
      </c>
    </row>
    <row r="4">
      <c r="A4" s="4" t="inlineStr">
        <is>
          <t>Société assujettie à la TVA (SASU ou EURL à l'IS) — micro-stock en France (lancement)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3" t="inlineStr">
        <is>
          <t>Cas</t>
        </is>
      </c>
      <c r="B5" s="3" t="inlineStr">
        <is>
          <t>Canal</t>
        </is>
      </c>
      <c r="C5" s="3" t="inlineStr">
        <is>
          <t>Poids (g)</t>
        </is>
      </c>
      <c r="D5" s="3" t="inlineStr">
        <is>
          <t>Prix payé TTC</t>
        </is>
      </c>
      <c r="E5" s="3" t="inlineStr">
        <is>
          <t>TVA collectée</t>
        </is>
      </c>
      <c r="F5" s="3" t="inlineStr">
        <is>
          <t>CA HT (base)</t>
        </is>
      </c>
      <c r="G5" s="3" t="inlineStr">
        <is>
          <t>Coût produit</t>
        </is>
      </c>
      <c r="H5" s="3" t="inlineStr">
        <is>
          <t>Droits de douane</t>
        </is>
      </c>
      <c r="I5" s="3" t="inlineStr">
        <is>
          <t>Livraison + emballage</t>
        </is>
      </c>
      <c r="J5" s="3" t="inlineStr">
        <is>
          <t>Frais de paiement</t>
        </is>
      </c>
      <c r="K5" s="3" t="inlineStr">
        <is>
          <t>Commission TikTok Shop</t>
        </is>
      </c>
      <c r="L5" s="3" t="inlineStr">
        <is>
          <t>Commission créateur ou pub</t>
        </is>
      </c>
      <c r="M5" s="3" t="inlineStr">
        <is>
          <t>Provision retours / litiges</t>
        </is>
      </c>
      <c r="N5" s="3" t="inlineStr">
        <is>
          <t>Cotisations micro</t>
        </is>
      </c>
      <c r="O5" s="3" t="inlineStr">
        <is>
          <t>Marge de contribution</t>
        </is>
      </c>
      <c r="P5" s="3" t="inlineStr">
        <is>
          <t>% du CA HT</t>
        </is>
      </c>
      <c r="Q5" s="3" t="inlineStr">
        <is>
          <t>ROAS de rentabilité HT</t>
        </is>
      </c>
      <c r="R5" s="3" t="inlineStr">
        <is>
          <t>ROAS de rentabilité TTC</t>
        </is>
      </c>
      <c r="S5" s="3" t="inlineStr">
        <is>
          <t>CPA maximal</t>
        </is>
      </c>
    </row>
    <row r="6">
      <c r="A6" t="inlineStr">
        <is>
          <t>Site — Rouleau seul (+3,90 € de port)</t>
        </is>
      </c>
      <c r="B6" t="inlineStr">
        <is>
          <t>Site</t>
        </is>
      </c>
      <c r="C6" s="16">
        <f>h_ROU_POIDS</f>
        <v/>
      </c>
      <c r="D6" s="14">
        <f>h_ROU_PRIX+IF(h_ROU_PRIX&lt;h_SEUIL_GRATUIT,h_PORT_CLIENT_TTC,0)</f>
        <v/>
      </c>
      <c r="E6" s="14">
        <f>D6-D6/(1+h_TVA)</f>
        <v/>
      </c>
      <c r="F6" s="14">
        <f>D6-E6</f>
        <v/>
      </c>
      <c r="G6" s="14">
        <f>(h_ROU_PROD)</f>
        <v/>
      </c>
      <c r="H6" s="14">
        <f>(h_ROU_DROITS)</f>
        <v/>
      </c>
      <c r="I6" s="14">
        <f>IF(C6&lt;=500,h_PORT_500+h_EMB_PETIT,IF(C6&lt;=1000,h_PORT_1KG+h_EMB_GRAND,h_PORT_2KG+h_EMB_GRAND))</f>
        <v/>
      </c>
      <c r="J6" s="14">
        <f>h_STRIPE_PCT*D6+h_STRIPE_FIXE</f>
        <v/>
      </c>
      <c r="K6" s="14">
        <f>0</f>
        <v/>
      </c>
      <c r="L6" s="14">
        <f>0</f>
        <v/>
      </c>
      <c r="M6" s="14">
        <f>h_PROV_RETOURS*F6</f>
        <v/>
      </c>
      <c r="N6" s="14">
        <f>0</f>
        <v/>
      </c>
      <c r="O6" s="18">
        <f>F6-SUM(G6:N6)</f>
        <v/>
      </c>
      <c r="P6" s="11">
        <f>O6/F6</f>
        <v/>
      </c>
      <c r="Q6" s="15">
        <f>F6/O6</f>
        <v/>
      </c>
      <c r="R6" s="15">
        <f>D6/O6</f>
        <v/>
      </c>
      <c r="S6" s="14">
        <f>O6</f>
        <v/>
      </c>
    </row>
    <row r="7">
      <c r="A7" t="inlineStr">
        <is>
          <t>Site — Gant seul (+3,90 € de port)</t>
        </is>
      </c>
      <c r="B7" t="inlineStr">
        <is>
          <t>Site</t>
        </is>
      </c>
      <c r="C7" s="16">
        <f>h_GAN_POIDS</f>
        <v/>
      </c>
      <c r="D7" s="14">
        <f>h_GAN_PRIX+IF(h_GAN_PRIX&lt;h_SEUIL_GRATUIT,h_PORT_CLIENT_TTC,0)</f>
        <v/>
      </c>
      <c r="E7" s="14">
        <f>D7-D7/(1+h_TVA)</f>
        <v/>
      </c>
      <c r="F7" s="14">
        <f>D7-E7</f>
        <v/>
      </c>
      <c r="G7" s="14">
        <f>(h_GAN_PROD)</f>
        <v/>
      </c>
      <c r="H7" s="14">
        <f>(h_GAN_DROITS)</f>
        <v/>
      </c>
      <c r="I7" s="14">
        <f>IF(C7&lt;=500,h_PORT_500+h_EMB_PETIT,IF(C7&lt;=1000,h_PORT_1KG+h_EMB_GRAND,h_PORT_2KG+h_EMB_GRAND))</f>
        <v/>
      </c>
      <c r="J7" s="14">
        <f>h_STRIPE_PCT*D7+h_STRIPE_FIXE</f>
        <v/>
      </c>
      <c r="K7" s="14">
        <f>0</f>
        <v/>
      </c>
      <c r="L7" s="14">
        <f>0</f>
        <v/>
      </c>
      <c r="M7" s="14">
        <f>h_PROV_RETOURS*F7</f>
        <v/>
      </c>
      <c r="N7" s="14">
        <f>0</f>
        <v/>
      </c>
      <c r="O7" s="18">
        <f>F7-SUM(G7:N7)</f>
        <v/>
      </c>
      <c r="P7" s="11">
        <f>O7/F7</f>
        <v/>
      </c>
      <c r="Q7" s="15">
        <f>F7/O7</f>
        <v/>
      </c>
      <c r="R7" s="15">
        <f>D7/O7</f>
        <v/>
      </c>
      <c r="S7" s="14">
        <f>O7</f>
        <v/>
      </c>
    </row>
    <row r="8">
      <c r="A8" t="inlineStr">
        <is>
          <t>Site — Raclette seule (+3,90 € de port)</t>
        </is>
      </c>
      <c r="B8" t="inlineStr">
        <is>
          <t>Site</t>
        </is>
      </c>
      <c r="C8" s="16">
        <f>h_RAC_POIDS</f>
        <v/>
      </c>
      <c r="D8" s="14">
        <f>h_RAC_PRIX+IF(h_RAC_PRIX&lt;h_SEUIL_GRATUIT,h_PORT_CLIENT_TTC,0)</f>
        <v/>
      </c>
      <c r="E8" s="14">
        <f>D8-D8/(1+h_TVA)</f>
        <v/>
      </c>
      <c r="F8" s="14">
        <f>D8-E8</f>
        <v/>
      </c>
      <c r="G8" s="14">
        <f>(h_RAC_PROD)</f>
        <v/>
      </c>
      <c r="H8" s="14">
        <f>(h_RAC_DROITS)</f>
        <v/>
      </c>
      <c r="I8" s="14">
        <f>IF(C8&lt;=500,h_PORT_500+h_EMB_PETIT,IF(C8&lt;=1000,h_PORT_1KG+h_EMB_GRAND,h_PORT_2KG+h_EMB_GRAND))</f>
        <v/>
      </c>
      <c r="J8" s="14">
        <f>h_STRIPE_PCT*D8+h_STRIPE_FIXE</f>
        <v/>
      </c>
      <c r="K8" s="14">
        <f>0</f>
        <v/>
      </c>
      <c r="L8" s="14">
        <f>0</f>
        <v/>
      </c>
      <c r="M8" s="14">
        <f>h_PROV_RETOURS*F8</f>
        <v/>
      </c>
      <c r="N8" s="14">
        <f>0</f>
        <v/>
      </c>
      <c r="O8" s="18">
        <f>F8-SUM(G8:N8)</f>
        <v/>
      </c>
      <c r="P8" s="11">
        <f>O8/F8</f>
        <v/>
      </c>
      <c r="Q8" s="15">
        <f>F8/O8</f>
        <v/>
      </c>
      <c r="R8" s="15">
        <f>D8/O8</f>
        <v/>
      </c>
      <c r="S8" s="14">
        <f>O8</f>
        <v/>
      </c>
    </row>
    <row r="9">
      <c r="A9" t="inlineStr">
        <is>
          <t>Site — Tapis thermique seul (+3,90 € de port)</t>
        </is>
      </c>
      <c r="B9" t="inlineStr">
        <is>
          <t>Site</t>
        </is>
      </c>
      <c r="C9" s="16">
        <f>h_TAP_POIDS</f>
        <v/>
      </c>
      <c r="D9" s="14">
        <f>h_TAP_PRIX+IF(h_TAP_PRIX&lt;h_SEUIL_GRATUIT,h_PORT_CLIENT_TTC,0)</f>
        <v/>
      </c>
      <c r="E9" s="14">
        <f>D9-D9/(1+h_TVA)</f>
        <v/>
      </c>
      <c r="F9" s="14">
        <f>D9-E9</f>
        <v/>
      </c>
      <c r="G9" s="14">
        <f>(h_TAP_PROD)</f>
        <v/>
      </c>
      <c r="H9" s="14">
        <f>(h_TAP_DROITS)</f>
        <v/>
      </c>
      <c r="I9" s="14">
        <f>IF(C9&lt;=500,h_PORT_500+h_EMB_PETIT,IF(C9&lt;=1000,h_PORT_1KG+h_EMB_GRAND,h_PORT_2KG+h_EMB_GRAND))</f>
        <v/>
      </c>
      <c r="J9" s="14">
        <f>h_STRIPE_PCT*D9+h_STRIPE_FIXE</f>
        <v/>
      </c>
      <c r="K9" s="14">
        <f>0</f>
        <v/>
      </c>
      <c r="L9" s="14">
        <f>0</f>
        <v/>
      </c>
      <c r="M9" s="14">
        <f>h_PROV_RETOURS*F9</f>
        <v/>
      </c>
      <c r="N9" s="14">
        <f>0</f>
        <v/>
      </c>
      <c r="O9" s="18">
        <f>F9-SUM(G9:N9)</f>
        <v/>
      </c>
      <c r="P9" s="11">
        <f>O9/F9</f>
        <v/>
      </c>
      <c r="Q9" s="15">
        <f>F9/O9</f>
        <v/>
      </c>
      <c r="R9" s="15">
        <f>D9/O9</f>
        <v/>
      </c>
      <c r="S9" s="14">
        <f>O9</f>
        <v/>
      </c>
    </row>
    <row r="10">
      <c r="A10" t="inlineStr">
        <is>
          <t>Site — Kit anti-poils (+3,90 € de port)</t>
        </is>
      </c>
      <c r="B10" t="inlineStr">
        <is>
          <t>Site</t>
        </is>
      </c>
      <c r="C10" s="16">
        <f>h_ROU_POIDS+h_GAN_POIDS</f>
        <v/>
      </c>
      <c r="D10" s="14">
        <f>h_KAP_PRIX+IF(h_KAP_PRIX&lt;h_SEUIL_GRATUIT,h_PORT_CLIENT_TTC,0)</f>
        <v/>
      </c>
      <c r="E10" s="14">
        <f>D10-D10/(1+h_TVA)</f>
        <v/>
      </c>
      <c r="F10" s="14">
        <f>D10-E10</f>
        <v/>
      </c>
      <c r="G10" s="14">
        <f>(h_ROU_PROD+h_GAN_PROD)</f>
        <v/>
      </c>
      <c r="H10" s="14">
        <f>(h_ROU_DROITS+h_GAN_DROITS)</f>
        <v/>
      </c>
      <c r="I10" s="14">
        <f>IF(C10&lt;=500,h_PORT_500+h_EMB_PETIT,IF(C10&lt;=1000,h_PORT_1KG+h_EMB_GRAND,h_PORT_2KG+h_EMB_GRAND))</f>
        <v/>
      </c>
      <c r="J10" s="14">
        <f>h_STRIPE_PCT*D10+h_STRIPE_FIXE</f>
        <v/>
      </c>
      <c r="K10" s="14">
        <f>0</f>
        <v/>
      </c>
      <c r="L10" s="14">
        <f>0</f>
        <v/>
      </c>
      <c r="M10" s="14">
        <f>h_PROV_RETOURS*F10</f>
        <v/>
      </c>
      <c r="N10" s="14">
        <f>0</f>
        <v/>
      </c>
      <c r="O10" s="18">
        <f>F10-SUM(G10:N10)</f>
        <v/>
      </c>
      <c r="P10" s="11">
        <f>O10/F10</f>
        <v/>
      </c>
      <c r="Q10" s="15">
        <f>F10/O10</f>
        <v/>
      </c>
      <c r="R10" s="15">
        <f>D10/O10</f>
        <v/>
      </c>
      <c r="S10" s="14">
        <f>O10</f>
        <v/>
      </c>
    </row>
    <row r="11">
      <c r="A11" t="inlineStr">
        <is>
          <t>Site — Grand kit (port offert)</t>
        </is>
      </c>
      <c r="B11" t="inlineStr">
        <is>
          <t>Site</t>
        </is>
      </c>
      <c r="C11" s="16">
        <f>h_ROU_POIDS+h_RAC_POIDS+h_GAN_POIDS</f>
        <v/>
      </c>
      <c r="D11" s="14">
        <f>h_GK_PRIX+IF(h_GK_PRIX&lt;h_SEUIL_GRATUIT,h_PORT_CLIENT_TTC,0)</f>
        <v/>
      </c>
      <c r="E11" s="14">
        <f>D11-D11/(1+h_TVA)</f>
        <v/>
      </c>
      <c r="F11" s="14">
        <f>D11-E11</f>
        <v/>
      </c>
      <c r="G11" s="14">
        <f>(h_ROU_PROD+h_RAC_PROD+h_GAN_PROD)</f>
        <v/>
      </c>
      <c r="H11" s="14">
        <f>(h_ROU_DROITS+h_RAC_DROITS+h_GAN_DROITS)</f>
        <v/>
      </c>
      <c r="I11" s="14">
        <f>IF(C11&lt;=500,h_PORT_500+h_EMB_PETIT,IF(C11&lt;=1000,h_PORT_1KG+h_EMB_GRAND,h_PORT_2KG+h_EMB_GRAND))</f>
        <v/>
      </c>
      <c r="J11" s="14">
        <f>h_STRIPE_PCT*D11+h_STRIPE_FIXE</f>
        <v/>
      </c>
      <c r="K11" s="14">
        <f>0</f>
        <v/>
      </c>
      <c r="L11" s="14">
        <f>0</f>
        <v/>
      </c>
      <c r="M11" s="14">
        <f>h_PROV_RETOURS*F11</f>
        <v/>
      </c>
      <c r="N11" s="14">
        <f>0</f>
        <v/>
      </c>
      <c r="O11" s="18">
        <f>F11-SUM(G11:N11)</f>
        <v/>
      </c>
      <c r="P11" s="11">
        <f>O11/F11</f>
        <v/>
      </c>
      <c r="Q11" s="15">
        <f>F11/O11</f>
        <v/>
      </c>
      <c r="R11" s="15">
        <f>D11/O11</f>
        <v/>
      </c>
      <c r="S11" s="14">
        <f>O11</f>
        <v/>
      </c>
    </row>
    <row r="12">
      <c r="A12" t="inlineStr">
        <is>
          <t>Site — Duo 2 rouleaux (port offert)</t>
        </is>
      </c>
      <c r="B12" t="inlineStr">
        <is>
          <t>Site</t>
        </is>
      </c>
      <c r="C12" s="16">
        <f>h_ROU_POIDS+h_ROU_POIDS</f>
        <v/>
      </c>
      <c r="D12" s="14">
        <f>h_DUO_PRIX+IF(h_DUO_PRIX&lt;h_SEUIL_GRATUIT,h_PORT_CLIENT_TTC,0)</f>
        <v/>
      </c>
      <c r="E12" s="14">
        <f>D12-D12/(1+h_TVA)</f>
        <v/>
      </c>
      <c r="F12" s="14">
        <f>D12-E12</f>
        <v/>
      </c>
      <c r="G12" s="14">
        <f>(h_ROU_PROD+h_ROU_PROD)</f>
        <v/>
      </c>
      <c r="H12" s="14">
        <f>(h_ROU_DROITS+h_ROU_DROITS)</f>
        <v/>
      </c>
      <c r="I12" s="14">
        <f>IF(C12&lt;=500,h_PORT_500+h_EMB_PETIT,IF(C12&lt;=1000,h_PORT_1KG+h_EMB_GRAND,h_PORT_2KG+h_EMB_GRAND))</f>
        <v/>
      </c>
      <c r="J12" s="14">
        <f>h_STRIPE_PCT*D12+h_STRIPE_FIXE</f>
        <v/>
      </c>
      <c r="K12" s="14">
        <f>0</f>
        <v/>
      </c>
      <c r="L12" s="14">
        <f>0</f>
        <v/>
      </c>
      <c r="M12" s="14">
        <f>h_PROV_RETOURS*F12</f>
        <v/>
      </c>
      <c r="N12" s="14">
        <f>0</f>
        <v/>
      </c>
      <c r="O12" s="18">
        <f>F12-SUM(G12:N12)</f>
        <v/>
      </c>
      <c r="P12" s="11">
        <f>O12/F12</f>
        <v/>
      </c>
      <c r="Q12" s="15">
        <f>F12/O12</f>
        <v/>
      </c>
      <c r="R12" s="15">
        <f>D12/O12</f>
        <v/>
      </c>
      <c r="S12" s="14">
        <f>O12</f>
        <v/>
      </c>
    </row>
    <row r="13">
      <c r="A13" t="inlineStr">
        <is>
          <t>Site — Kit chat d'hiver (port offert)</t>
        </is>
      </c>
      <c r="B13" t="inlineStr">
        <is>
          <t>Site</t>
        </is>
      </c>
      <c r="C13" s="16">
        <f>h_ROU_POIDS+h_TAP_POIDS</f>
        <v/>
      </c>
      <c r="D13" s="14">
        <f>h_HIV_PRIX+IF(h_HIV_PRIX&lt;h_SEUIL_GRATUIT,h_PORT_CLIENT_TTC,0)</f>
        <v/>
      </c>
      <c r="E13" s="14">
        <f>D13-D13/(1+h_TVA)</f>
        <v/>
      </c>
      <c r="F13" s="14">
        <f>D13-E13</f>
        <v/>
      </c>
      <c r="G13" s="14">
        <f>(h_ROU_PROD+h_TAP_PROD)</f>
        <v/>
      </c>
      <c r="H13" s="14">
        <f>(h_ROU_DROITS+h_TAP_DROITS)</f>
        <v/>
      </c>
      <c r="I13" s="14">
        <f>IF(C13&lt;=500,h_PORT_500+h_EMB_PETIT,IF(C13&lt;=1000,h_PORT_1KG+h_EMB_GRAND,h_PORT_2KG+h_EMB_GRAND))</f>
        <v/>
      </c>
      <c r="J13" s="14">
        <f>h_STRIPE_PCT*D13+h_STRIPE_FIXE</f>
        <v/>
      </c>
      <c r="K13" s="14">
        <f>0</f>
        <v/>
      </c>
      <c r="L13" s="14">
        <f>0</f>
        <v/>
      </c>
      <c r="M13" s="14">
        <f>h_PROV_RETOURS*F13</f>
        <v/>
      </c>
      <c r="N13" s="14">
        <f>0</f>
        <v/>
      </c>
      <c r="O13" s="18">
        <f>F13-SUM(G13:N13)</f>
        <v/>
      </c>
      <c r="P13" s="11">
        <f>O13/F13</f>
        <v/>
      </c>
      <c r="Q13" s="15">
        <f>F13/O13</f>
        <v/>
      </c>
      <c r="R13" s="15">
        <f>D13/O13</f>
        <v/>
      </c>
      <c r="S13" s="14">
        <f>O13</f>
        <v/>
      </c>
    </row>
    <row r="14">
      <c r="A14" t="inlineStr">
        <is>
          <t>TikTok Shop, contenu propre — Rouleau</t>
        </is>
      </c>
      <c r="B14" t="inlineStr">
        <is>
          <t>TikTok Shop</t>
        </is>
      </c>
      <c r="C14" s="16">
        <f>h_ROU_POIDS</f>
        <v/>
      </c>
      <c r="D14" s="14">
        <f>h_ROU_PRIX</f>
        <v/>
      </c>
      <c r="E14" s="14">
        <f>D14-D14/(1+h_TVA)</f>
        <v/>
      </c>
      <c r="F14" s="14">
        <f>D14-E14</f>
        <v/>
      </c>
      <c r="G14" s="14">
        <f>(h_ROU_PROD)</f>
        <v/>
      </c>
      <c r="H14" s="14">
        <f>(h_ROU_DROITS)</f>
        <v/>
      </c>
      <c r="I14" s="14">
        <f>IF(C14&lt;=500,h_PORT_500+h_EMB_PETIT,IF(C14&lt;=1000,h_PORT_1KG+h_EMB_GRAND,h_PORT_2KG+h_EMB_GRAND))</f>
        <v/>
      </c>
      <c r="J14" s="14">
        <f>0</f>
        <v/>
      </c>
      <c r="K14" s="14">
        <f>h_TTS_COMM*D14</f>
        <v/>
      </c>
      <c r="L14" s="14">
        <f>0</f>
        <v/>
      </c>
      <c r="M14" s="14">
        <f>h_PROV_RETOURS*F14</f>
        <v/>
      </c>
      <c r="N14" s="14">
        <f>0</f>
        <v/>
      </c>
      <c r="O14" s="18">
        <f>F14-SUM(G14:N14)</f>
        <v/>
      </c>
      <c r="P14" s="11">
        <f>O14/F14</f>
        <v/>
      </c>
      <c r="Q14" s="15">
        <f>F14/O14</f>
        <v/>
      </c>
      <c r="R14" s="15">
        <f>D14/O14</f>
        <v/>
      </c>
      <c r="S14" s="14">
        <f>O14</f>
        <v/>
      </c>
    </row>
    <row r="15">
      <c r="A15" t="inlineStr">
        <is>
          <t>TikTok Shop, contenu propre — Kit anti-poils</t>
        </is>
      </c>
      <c r="B15" t="inlineStr">
        <is>
          <t>TikTok Shop</t>
        </is>
      </c>
      <c r="C15" s="16">
        <f>h_ROU_POIDS+h_GAN_POIDS</f>
        <v/>
      </c>
      <c r="D15" s="14">
        <f>h_KAP_PRIX</f>
        <v/>
      </c>
      <c r="E15" s="14">
        <f>D15-D15/(1+h_TVA)</f>
        <v/>
      </c>
      <c r="F15" s="14">
        <f>D15-E15</f>
        <v/>
      </c>
      <c r="G15" s="14">
        <f>(h_ROU_PROD+h_GAN_PROD)</f>
        <v/>
      </c>
      <c r="H15" s="14">
        <f>(h_ROU_DROITS+h_GAN_DROITS)</f>
        <v/>
      </c>
      <c r="I15" s="14">
        <f>IF(C15&lt;=500,h_PORT_500+h_EMB_PETIT,IF(C15&lt;=1000,h_PORT_1KG+h_EMB_GRAND,h_PORT_2KG+h_EMB_GRAND))</f>
        <v/>
      </c>
      <c r="J15" s="14">
        <f>0</f>
        <v/>
      </c>
      <c r="K15" s="14">
        <f>h_TTS_COMM*D15</f>
        <v/>
      </c>
      <c r="L15" s="14">
        <f>0</f>
        <v/>
      </c>
      <c r="M15" s="14">
        <f>h_PROV_RETOURS*F15</f>
        <v/>
      </c>
      <c r="N15" s="14">
        <f>0</f>
        <v/>
      </c>
      <c r="O15" s="18">
        <f>F15-SUM(G15:N15)</f>
        <v/>
      </c>
      <c r="P15" s="11">
        <f>O15/F15</f>
        <v/>
      </c>
      <c r="Q15" s="15">
        <f>F15/O15</f>
        <v/>
      </c>
      <c r="R15" s="15">
        <f>D15/O15</f>
        <v/>
      </c>
      <c r="S15" s="14">
        <f>O15</f>
        <v/>
      </c>
    </row>
    <row r="16">
      <c r="A16" t="inlineStr">
        <is>
          <t>TikTok Shop, contenu propre, commission 4 % — Rouleau</t>
        </is>
      </c>
      <c r="B16" t="inlineStr">
        <is>
          <t>TikTok Shop</t>
        </is>
      </c>
      <c r="C16" s="16">
        <f>h_ROU_POIDS</f>
        <v/>
      </c>
      <c r="D16" s="14">
        <f>h_ROU_PRIX</f>
        <v/>
      </c>
      <c r="E16" s="14">
        <f>D16-D16/(1+h_TVA)</f>
        <v/>
      </c>
      <c r="F16" s="14">
        <f>D16-E16</f>
        <v/>
      </c>
      <c r="G16" s="14">
        <f>(h_ROU_PROD)</f>
        <v/>
      </c>
      <c r="H16" s="14">
        <f>(h_ROU_DROITS)</f>
        <v/>
      </c>
      <c r="I16" s="14">
        <f>IF(C16&lt;=500,h_PORT_500+h_EMB_PETIT,IF(C16&lt;=1000,h_PORT_1KG+h_EMB_GRAND,h_PORT_2KG+h_EMB_GRAND))</f>
        <v/>
      </c>
      <c r="J16" s="14">
        <f>0</f>
        <v/>
      </c>
      <c r="K16" s="14">
        <f>h_TTS_COMM_LANCEMENT*D16</f>
        <v/>
      </c>
      <c r="L16" s="14">
        <f>0</f>
        <v/>
      </c>
      <c r="M16" s="14">
        <f>h_PROV_RETOURS*F16</f>
        <v/>
      </c>
      <c r="N16" s="14">
        <f>0</f>
        <v/>
      </c>
      <c r="O16" s="18">
        <f>F16-SUM(G16:N16)</f>
        <v/>
      </c>
      <c r="P16" s="11">
        <f>O16/F16</f>
        <v/>
      </c>
      <c r="Q16" s="15">
        <f>F16/O16</f>
        <v/>
      </c>
      <c r="R16" s="15">
        <f>D16/O16</f>
        <v/>
      </c>
      <c r="S16" s="14">
        <f>O16</f>
        <v/>
      </c>
    </row>
    <row r="17">
      <c r="A17" t="inlineStr">
        <is>
          <t>TikTok Shop, affilié 15 % — Rouleau</t>
        </is>
      </c>
      <c r="B17" t="inlineStr">
        <is>
          <t>TikTok Shop</t>
        </is>
      </c>
      <c r="C17" s="16">
        <f>h_ROU_POIDS</f>
        <v/>
      </c>
      <c r="D17" s="14">
        <f>h_ROU_PRIX</f>
        <v/>
      </c>
      <c r="E17" s="14">
        <f>D17-D17/(1+h_TVA)</f>
        <v/>
      </c>
      <c r="F17" s="14">
        <f>D17-E17</f>
        <v/>
      </c>
      <c r="G17" s="14">
        <f>(h_ROU_PROD)</f>
        <v/>
      </c>
      <c r="H17" s="14">
        <f>(h_ROU_DROITS)</f>
        <v/>
      </c>
      <c r="I17" s="14">
        <f>IF(C17&lt;=500,h_PORT_500+h_EMB_PETIT,IF(C17&lt;=1000,h_PORT_1KG+h_EMB_GRAND,h_PORT_2KG+h_EMB_GRAND))</f>
        <v/>
      </c>
      <c r="J17" s="14">
        <f>0</f>
        <v/>
      </c>
      <c r="K17" s="14">
        <f>h_TTS_COMM*D17</f>
        <v/>
      </c>
      <c r="L17" s="14">
        <f>h_CREA_COMM*D17</f>
        <v/>
      </c>
      <c r="M17" s="14">
        <f>h_PROV_RETOURS*F17</f>
        <v/>
      </c>
      <c r="N17" s="14">
        <f>0</f>
        <v/>
      </c>
      <c r="O17" s="18">
        <f>F17-SUM(G17:N17)</f>
        <v/>
      </c>
      <c r="P17" s="11">
        <f>O17/F17</f>
        <v/>
      </c>
    </row>
    <row r="18">
      <c r="A18" t="inlineStr">
        <is>
          <t>TikTok Shop, affilié 15 % — Kit anti-poils</t>
        </is>
      </c>
      <c r="B18" t="inlineStr">
        <is>
          <t>TikTok Shop</t>
        </is>
      </c>
      <c r="C18" s="16">
        <f>h_ROU_POIDS+h_GAN_POIDS</f>
        <v/>
      </c>
      <c r="D18" s="14">
        <f>h_KAP_PRIX</f>
        <v/>
      </c>
      <c r="E18" s="14">
        <f>D18-D18/(1+h_TVA)</f>
        <v/>
      </c>
      <c r="F18" s="14">
        <f>D18-E18</f>
        <v/>
      </c>
      <c r="G18" s="14">
        <f>(h_ROU_PROD+h_GAN_PROD)</f>
        <v/>
      </c>
      <c r="H18" s="14">
        <f>(h_ROU_DROITS+h_GAN_DROITS)</f>
        <v/>
      </c>
      <c r="I18" s="14">
        <f>IF(C18&lt;=500,h_PORT_500+h_EMB_PETIT,IF(C18&lt;=1000,h_PORT_1KG+h_EMB_GRAND,h_PORT_2KG+h_EMB_GRAND))</f>
        <v/>
      </c>
      <c r="J18" s="14">
        <f>0</f>
        <v/>
      </c>
      <c r="K18" s="14">
        <f>h_TTS_COMM*D18</f>
        <v/>
      </c>
      <c r="L18" s="14">
        <f>h_CREA_COMM*D18</f>
        <v/>
      </c>
      <c r="M18" s="14">
        <f>h_PROV_RETOURS*F18</f>
        <v/>
      </c>
      <c r="N18" s="14">
        <f>0</f>
        <v/>
      </c>
      <c r="O18" s="18">
        <f>F18-SUM(G18:N18)</f>
        <v/>
      </c>
      <c r="P18" s="11">
        <f>O18/F18</f>
        <v/>
      </c>
    </row>
    <row r="19">
      <c r="A19" t="inlineStr">
        <is>
          <t>Site — Grand kit si le colis dépasse 500 g emballage compris</t>
        </is>
      </c>
      <c r="B19" t="inlineStr">
        <is>
          <t>Site</t>
        </is>
      </c>
      <c r="C19" s="16">
        <f>h_ROU_POIDS+h_RAC_POIDS+h_GAN_POIDS</f>
        <v/>
      </c>
      <c r="D19" s="14">
        <f>h_GK_PRIX+IF(h_GK_PRIX&lt;h_SEUIL_GRATUIT,h_PORT_CLIENT_TTC,0)</f>
        <v/>
      </c>
      <c r="E19" s="14">
        <f>D19-D19/(1+h_TVA)</f>
        <v/>
      </c>
      <c r="F19" s="14">
        <f>D19-E19</f>
        <v/>
      </c>
      <c r="G19" s="14">
        <f>(h_ROU_PROD+h_RAC_PROD+h_GAN_PROD)</f>
        <v/>
      </c>
      <c r="H19" s="14">
        <f>(h_ROU_DROITS+h_RAC_DROITS+h_GAN_DROITS)</f>
        <v/>
      </c>
      <c r="I19" s="14">
        <f>(h_PORT_1KG+h_EMB_GRAND)</f>
        <v/>
      </c>
      <c r="J19" s="14">
        <f>h_STRIPE_PCT*D19+h_STRIPE_FIXE</f>
        <v/>
      </c>
      <c r="K19" s="14">
        <f>0</f>
        <v/>
      </c>
      <c r="L19" s="14">
        <f>0</f>
        <v/>
      </c>
      <c r="M19" s="14">
        <f>h_PROV_RETOURS*F19</f>
        <v/>
      </c>
      <c r="N19" s="14">
        <f>0</f>
        <v/>
      </c>
      <c r="O19" s="18">
        <f>F19-SUM(G19:N19)</f>
        <v/>
      </c>
      <c r="P19" s="11">
        <f>O19/F19</f>
        <v/>
      </c>
      <c r="Q19" s="15">
        <f>F19/O19</f>
        <v/>
      </c>
      <c r="R19" s="15">
        <f>D19/O19</f>
        <v/>
      </c>
      <c r="S19" s="14">
        <f>O19</f>
        <v/>
      </c>
    </row>
    <row r="21">
      <c r="A21" s="4" t="inlineStr">
        <is>
          <t>Société assujettie — import groupé + 3PL (palier 2)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3" t="inlineStr">
        <is>
          <t>Cas</t>
        </is>
      </c>
      <c r="B22" s="3" t="inlineStr">
        <is>
          <t>Canal</t>
        </is>
      </c>
      <c r="C22" s="3" t="inlineStr">
        <is>
          <t>Poids (g)</t>
        </is>
      </c>
      <c r="D22" s="3" t="inlineStr">
        <is>
          <t>Prix payé TTC</t>
        </is>
      </c>
      <c r="E22" s="3" t="inlineStr">
        <is>
          <t>TVA collectée</t>
        </is>
      </c>
      <c r="F22" s="3" t="inlineStr">
        <is>
          <t>CA HT (base)</t>
        </is>
      </c>
      <c r="G22" s="3" t="inlineStr">
        <is>
          <t>Coût produit</t>
        </is>
      </c>
      <c r="H22" s="3" t="inlineStr">
        <is>
          <t>Droits de douane</t>
        </is>
      </c>
      <c r="I22" s="3" t="inlineStr">
        <is>
          <t>Livraison + emballage</t>
        </is>
      </c>
      <c r="J22" s="3" t="inlineStr">
        <is>
          <t>Frais de paiement</t>
        </is>
      </c>
      <c r="K22" s="3" t="inlineStr">
        <is>
          <t>Commission TikTok Shop</t>
        </is>
      </c>
      <c r="L22" s="3" t="inlineStr">
        <is>
          <t>Commission créateur ou pub</t>
        </is>
      </c>
      <c r="M22" s="3" t="inlineStr">
        <is>
          <t>Provision retours / litiges</t>
        </is>
      </c>
      <c r="N22" s="3" t="inlineStr">
        <is>
          <t>Cotisations micro</t>
        </is>
      </c>
      <c r="O22" s="3" t="inlineStr">
        <is>
          <t>Marge de contribution</t>
        </is>
      </c>
      <c r="P22" s="3" t="inlineStr">
        <is>
          <t>% du CA HT</t>
        </is>
      </c>
      <c r="Q22" s="3" t="inlineStr">
        <is>
          <t>ROAS de rentabilité HT</t>
        </is>
      </c>
      <c r="R22" s="3" t="inlineStr">
        <is>
          <t>ROAS de rentabilité TTC</t>
        </is>
      </c>
      <c r="S22" s="3" t="inlineStr">
        <is>
          <t>CPA maximal</t>
        </is>
      </c>
    </row>
    <row r="23">
      <c r="A23" t="inlineStr">
        <is>
          <t>Site — Rouleau seul</t>
        </is>
      </c>
      <c r="B23" t="inlineStr">
        <is>
          <t>Site</t>
        </is>
      </c>
      <c r="C23" s="16">
        <f>h_ROU_POIDS</f>
        <v/>
      </c>
      <c r="D23" s="14">
        <f>h_ROU_PRIX+IF(h_ROU_PRIX&lt;h_SEUIL_GRATUIT,h_PORT_CLIENT_TTC,0)</f>
        <v/>
      </c>
      <c r="E23" s="14">
        <f>D23-D23/(1+h_TVA)</f>
        <v/>
      </c>
      <c r="F23" s="14">
        <f>D23-E23</f>
        <v/>
      </c>
      <c r="G23" s="14">
        <f>h_IMP_ROU</f>
        <v/>
      </c>
      <c r="H23" s="14">
        <f>0</f>
        <v/>
      </c>
      <c r="I23" s="14">
        <f>IF(C23&lt;=500,h_PORT_500,IF(C23&lt;=1000,h_PORT_1KG,h_PORT_2KG))+h_TPL_PREP</f>
        <v/>
      </c>
      <c r="J23" s="14">
        <f>h_STRIPE_PCT*D23+h_STRIPE_FIXE</f>
        <v/>
      </c>
      <c r="K23" s="14">
        <f>0</f>
        <v/>
      </c>
      <c r="L23" s="14">
        <f>0</f>
        <v/>
      </c>
      <c r="M23" s="14">
        <f>h_PROV_RETOURS*F23</f>
        <v/>
      </c>
      <c r="N23" s="14">
        <f>0</f>
        <v/>
      </c>
      <c r="O23" s="18">
        <f>F23-SUM(G23:N23)</f>
        <v/>
      </c>
      <c r="P23" s="11">
        <f>O23/F23</f>
        <v/>
      </c>
      <c r="Q23" s="15">
        <f>F23/O23</f>
        <v/>
      </c>
      <c r="R23" s="15">
        <f>D23/O23</f>
        <v/>
      </c>
      <c r="S23" s="14">
        <f>O23</f>
        <v/>
      </c>
    </row>
    <row r="24">
      <c r="A24" t="inlineStr">
        <is>
          <t>Site — Kit anti-poils</t>
        </is>
      </c>
      <c r="B24" t="inlineStr">
        <is>
          <t>Site</t>
        </is>
      </c>
      <c r="C24" s="16">
        <f>h_ROU_POIDS+h_GAN_POIDS</f>
        <v/>
      </c>
      <c r="D24" s="14">
        <f>h_KAP_PRIX+IF(h_KAP_PRIX&lt;h_SEUIL_GRATUIT,h_PORT_CLIENT_TTC,0)</f>
        <v/>
      </c>
      <c r="E24" s="14">
        <f>D24-D24/(1+h_TVA)</f>
        <v/>
      </c>
      <c r="F24" s="14">
        <f>D24-E24</f>
        <v/>
      </c>
      <c r="G24" s="14">
        <f>h_IMP_ROU+h_IMP_GAN</f>
        <v/>
      </c>
      <c r="H24" s="14">
        <f>0</f>
        <v/>
      </c>
      <c r="I24" s="14">
        <f>IF(C24&lt;=500,h_PORT_500,IF(C24&lt;=1000,h_PORT_1KG,h_PORT_2KG))+h_TPL_PREP</f>
        <v/>
      </c>
      <c r="J24" s="14">
        <f>h_STRIPE_PCT*D24+h_STRIPE_FIXE</f>
        <v/>
      </c>
      <c r="K24" s="14">
        <f>0</f>
        <v/>
      </c>
      <c r="L24" s="14">
        <f>0</f>
        <v/>
      </c>
      <c r="M24" s="14">
        <f>h_PROV_RETOURS*F24</f>
        <v/>
      </c>
      <c r="N24" s="14">
        <f>0</f>
        <v/>
      </c>
      <c r="O24" s="18">
        <f>F24-SUM(G24:N24)</f>
        <v/>
      </c>
      <c r="P24" s="11">
        <f>O24/F24</f>
        <v/>
      </c>
      <c r="Q24" s="15">
        <f>F24/O24</f>
        <v/>
      </c>
      <c r="R24" s="15">
        <f>D24/O24</f>
        <v/>
      </c>
      <c r="S24" s="14">
        <f>O24</f>
        <v/>
      </c>
    </row>
    <row r="25">
      <c r="A25" t="inlineStr">
        <is>
          <t>Site — Grand kit</t>
        </is>
      </c>
      <c r="B25" t="inlineStr">
        <is>
          <t>Site</t>
        </is>
      </c>
      <c r="C25" s="16">
        <f>h_ROU_POIDS+h_RAC_POIDS+h_GAN_POIDS</f>
        <v/>
      </c>
      <c r="D25" s="14">
        <f>h_GK_PRIX+IF(h_GK_PRIX&lt;h_SEUIL_GRATUIT,h_PORT_CLIENT_TTC,0)</f>
        <v/>
      </c>
      <c r="E25" s="14">
        <f>D25-D25/(1+h_TVA)</f>
        <v/>
      </c>
      <c r="F25" s="14">
        <f>D25-E25</f>
        <v/>
      </c>
      <c r="G25" s="14">
        <f>h_IMP_ROU+h_IMP_RAC+h_IMP_GAN</f>
        <v/>
      </c>
      <c r="H25" s="14">
        <f>0</f>
        <v/>
      </c>
      <c r="I25" s="14">
        <f>IF(C25&lt;=500,h_PORT_500,IF(C25&lt;=1000,h_PORT_1KG,h_PORT_2KG))+h_TPL_PREP</f>
        <v/>
      </c>
      <c r="J25" s="14">
        <f>h_STRIPE_PCT*D25+h_STRIPE_FIXE</f>
        <v/>
      </c>
      <c r="K25" s="14">
        <f>0</f>
        <v/>
      </c>
      <c r="L25" s="14">
        <f>0</f>
        <v/>
      </c>
      <c r="M25" s="14">
        <f>h_PROV_RETOURS*F25</f>
        <v/>
      </c>
      <c r="N25" s="14">
        <f>0</f>
        <v/>
      </c>
      <c r="O25" s="18">
        <f>F25-SUM(G25:N25)</f>
        <v/>
      </c>
      <c r="P25" s="11">
        <f>O25/F25</f>
        <v/>
      </c>
      <c r="Q25" s="15">
        <f>F25/O25</f>
        <v/>
      </c>
      <c r="R25" s="15">
        <f>D25/O25</f>
        <v/>
      </c>
      <c r="S25" s="14">
        <f>O25</f>
        <v/>
      </c>
    </row>
    <row r="26">
      <c r="A26" t="inlineStr">
        <is>
          <t>Site — Duo 2 rouleaux</t>
        </is>
      </c>
      <c r="B26" t="inlineStr">
        <is>
          <t>Site</t>
        </is>
      </c>
      <c r="C26" s="16">
        <f>h_ROU_POIDS+h_ROU_POIDS</f>
        <v/>
      </c>
      <c r="D26" s="14">
        <f>h_DUO_PRIX+IF(h_DUO_PRIX&lt;h_SEUIL_GRATUIT,h_PORT_CLIENT_TTC,0)</f>
        <v/>
      </c>
      <c r="E26" s="14">
        <f>D26-D26/(1+h_TVA)</f>
        <v/>
      </c>
      <c r="F26" s="14">
        <f>D26-E26</f>
        <v/>
      </c>
      <c r="G26" s="14">
        <f>h_IMP_ROU+h_IMP_ROU</f>
        <v/>
      </c>
      <c r="H26" s="14">
        <f>0</f>
        <v/>
      </c>
      <c r="I26" s="14">
        <f>IF(C26&lt;=500,h_PORT_500,IF(C26&lt;=1000,h_PORT_1KG,h_PORT_2KG))+h_TPL_PREP</f>
        <v/>
      </c>
      <c r="J26" s="14">
        <f>h_STRIPE_PCT*D26+h_STRIPE_FIXE</f>
        <v/>
      </c>
      <c r="K26" s="14">
        <f>0</f>
        <v/>
      </c>
      <c r="L26" s="14">
        <f>0</f>
        <v/>
      </c>
      <c r="M26" s="14">
        <f>h_PROV_RETOURS*F26</f>
        <v/>
      </c>
      <c r="N26" s="14">
        <f>0</f>
        <v/>
      </c>
      <c r="O26" s="18">
        <f>F26-SUM(G26:N26)</f>
        <v/>
      </c>
      <c r="P26" s="11">
        <f>O26/F26</f>
        <v/>
      </c>
      <c r="Q26" s="15">
        <f>F26/O26</f>
        <v/>
      </c>
      <c r="R26" s="15">
        <f>D26/O26</f>
        <v/>
      </c>
      <c r="S26" s="14">
        <f>O26</f>
        <v/>
      </c>
    </row>
    <row r="27">
      <c r="A27" t="inlineStr">
        <is>
          <t>TikTok Shop, contenu propre — Rouleau</t>
        </is>
      </c>
      <c r="B27" t="inlineStr">
        <is>
          <t>TikTok Shop</t>
        </is>
      </c>
      <c r="C27" s="16">
        <f>h_ROU_POIDS</f>
        <v/>
      </c>
      <c r="D27" s="14">
        <f>h_ROU_PRIX</f>
        <v/>
      </c>
      <c r="E27" s="14">
        <f>D27-D27/(1+h_TVA)</f>
        <v/>
      </c>
      <c r="F27" s="14">
        <f>D27-E27</f>
        <v/>
      </c>
      <c r="G27" s="14">
        <f>h_IMP_ROU</f>
        <v/>
      </c>
      <c r="H27" s="14">
        <f>0</f>
        <v/>
      </c>
      <c r="I27" s="14">
        <f>IF(C27&lt;=500,h_PORT_500,IF(C27&lt;=1000,h_PORT_1KG,h_PORT_2KG))+h_TPL_PREP</f>
        <v/>
      </c>
      <c r="J27" s="14">
        <f>0</f>
        <v/>
      </c>
      <c r="K27" s="14">
        <f>h_TTS_COMM*D27</f>
        <v/>
      </c>
      <c r="L27" s="14">
        <f>0</f>
        <v/>
      </c>
      <c r="M27" s="14">
        <f>h_PROV_RETOURS*F27</f>
        <v/>
      </c>
      <c r="N27" s="14">
        <f>0</f>
        <v/>
      </c>
      <c r="O27" s="18">
        <f>F27-SUM(G27:N27)</f>
        <v/>
      </c>
      <c r="P27" s="11">
        <f>O27/F27</f>
        <v/>
      </c>
      <c r="Q27" s="15">
        <f>F27/O27</f>
        <v/>
      </c>
      <c r="R27" s="15">
        <f>D27/O27</f>
        <v/>
      </c>
      <c r="S27" s="14">
        <f>O27</f>
        <v/>
      </c>
    </row>
    <row r="28">
      <c r="A28" t="inlineStr">
        <is>
          <t>TikTok Shop, contenu propre — Kit anti-poils</t>
        </is>
      </c>
      <c r="B28" t="inlineStr">
        <is>
          <t>TikTok Shop</t>
        </is>
      </c>
      <c r="C28" s="16">
        <f>h_ROU_POIDS+h_GAN_POIDS</f>
        <v/>
      </c>
      <c r="D28" s="14">
        <f>h_KAP_PRIX</f>
        <v/>
      </c>
      <c r="E28" s="14">
        <f>D28-D28/(1+h_TVA)</f>
        <v/>
      </c>
      <c r="F28" s="14">
        <f>D28-E28</f>
        <v/>
      </c>
      <c r="G28" s="14">
        <f>h_IMP_ROU+h_IMP_GAN</f>
        <v/>
      </c>
      <c r="H28" s="14">
        <f>0</f>
        <v/>
      </c>
      <c r="I28" s="14">
        <f>IF(C28&lt;=500,h_PORT_500,IF(C28&lt;=1000,h_PORT_1KG,h_PORT_2KG))+h_TPL_PREP</f>
        <v/>
      </c>
      <c r="J28" s="14">
        <f>0</f>
        <v/>
      </c>
      <c r="K28" s="14">
        <f>h_TTS_COMM*D28</f>
        <v/>
      </c>
      <c r="L28" s="14">
        <f>0</f>
        <v/>
      </c>
      <c r="M28" s="14">
        <f>h_PROV_RETOURS*F28</f>
        <v/>
      </c>
      <c r="N28" s="14">
        <f>0</f>
        <v/>
      </c>
      <c r="O28" s="18">
        <f>F28-SUM(G28:N28)</f>
        <v/>
      </c>
      <c r="P28" s="11">
        <f>O28/F28</f>
        <v/>
      </c>
      <c r="Q28" s="15">
        <f>F28/O28</f>
        <v/>
      </c>
      <c r="R28" s="15">
        <f>D28/O28</f>
        <v/>
      </c>
      <c r="S28" s="14">
        <f>O28</f>
        <v/>
      </c>
    </row>
    <row r="29">
      <c r="A29" t="inlineStr">
        <is>
          <t>TikTok Shop, affilié — Rouleau</t>
        </is>
      </c>
      <c r="B29" t="inlineStr">
        <is>
          <t>TikTok Shop</t>
        </is>
      </c>
      <c r="C29" s="16">
        <f>h_ROU_POIDS</f>
        <v/>
      </c>
      <c r="D29" s="14">
        <f>h_ROU_PRIX</f>
        <v/>
      </c>
      <c r="E29" s="14">
        <f>D29-D29/(1+h_TVA)</f>
        <v/>
      </c>
      <c r="F29" s="14">
        <f>D29-E29</f>
        <v/>
      </c>
      <c r="G29" s="14">
        <f>h_IMP_ROU</f>
        <v/>
      </c>
      <c r="H29" s="14">
        <f>0</f>
        <v/>
      </c>
      <c r="I29" s="14">
        <f>IF(C29&lt;=500,h_PORT_500,IF(C29&lt;=1000,h_PORT_1KG,h_PORT_2KG))+h_TPL_PREP</f>
        <v/>
      </c>
      <c r="J29" s="14">
        <f>0</f>
        <v/>
      </c>
      <c r="K29" s="14">
        <f>h_TTS_COMM*D29</f>
        <v/>
      </c>
      <c r="L29" s="14">
        <f>h_CREA_COMM*D29</f>
        <v/>
      </c>
      <c r="M29" s="14">
        <f>h_PROV_RETOURS*F29</f>
        <v/>
      </c>
      <c r="N29" s="14">
        <f>0</f>
        <v/>
      </c>
      <c r="O29" s="18">
        <f>F29-SUM(G29:N29)</f>
        <v/>
      </c>
      <c r="P29" s="11">
        <f>O29/F29</f>
        <v/>
      </c>
    </row>
    <row r="30">
      <c r="A30" t="inlineStr">
        <is>
          <t>TikTok Shop, affilié — Kit anti-poils</t>
        </is>
      </c>
      <c r="B30" t="inlineStr">
        <is>
          <t>TikTok Shop</t>
        </is>
      </c>
      <c r="C30" s="16">
        <f>h_ROU_POIDS+h_GAN_POIDS</f>
        <v/>
      </c>
      <c r="D30" s="14">
        <f>h_KAP_PRIX</f>
        <v/>
      </c>
      <c r="E30" s="14">
        <f>D30-D30/(1+h_TVA)</f>
        <v/>
      </c>
      <c r="F30" s="14">
        <f>D30-E30</f>
        <v/>
      </c>
      <c r="G30" s="14">
        <f>h_IMP_ROU+h_IMP_GAN</f>
        <v/>
      </c>
      <c r="H30" s="14">
        <f>0</f>
        <v/>
      </c>
      <c r="I30" s="14">
        <f>IF(C30&lt;=500,h_PORT_500,IF(C30&lt;=1000,h_PORT_1KG,h_PORT_2KG))+h_TPL_PREP</f>
        <v/>
      </c>
      <c r="J30" s="14">
        <f>0</f>
        <v/>
      </c>
      <c r="K30" s="14">
        <f>h_TTS_COMM*D30</f>
        <v/>
      </c>
      <c r="L30" s="14">
        <f>h_CREA_COMM*D30</f>
        <v/>
      </c>
      <c r="M30" s="14">
        <f>h_PROV_RETOURS*F30</f>
        <v/>
      </c>
      <c r="N30" s="14">
        <f>0</f>
        <v/>
      </c>
      <c r="O30" s="18">
        <f>F30-SUM(G30:N30)</f>
        <v/>
      </c>
      <c r="P30" s="11">
        <f>O30/F30</f>
        <v/>
      </c>
    </row>
    <row r="31">
      <c r="A31" t="inlineStr">
        <is>
          <t>Site, publicité au CPA réaliste — Grand kit</t>
        </is>
      </c>
      <c r="B31" t="inlineStr">
        <is>
          <t>Site + publicité</t>
        </is>
      </c>
      <c r="C31" s="16">
        <f>h_ROU_POIDS+h_RAC_POIDS+h_GAN_POIDS</f>
        <v/>
      </c>
      <c r="D31" s="14">
        <f>h_GK_PRIX+IF(h_GK_PRIX&lt;h_SEUIL_GRATUIT,h_PORT_CLIENT_TTC,0)</f>
        <v/>
      </c>
      <c r="E31" s="14">
        <f>D31-D31/(1+h_TVA)</f>
        <v/>
      </c>
      <c r="F31" s="14">
        <f>D31-E31</f>
        <v/>
      </c>
      <c r="G31" s="14">
        <f>h_IMP_ROU+h_IMP_RAC+h_IMP_GAN</f>
        <v/>
      </c>
      <c r="H31" s="14">
        <f>0</f>
        <v/>
      </c>
      <c r="I31" s="14">
        <f>IF(C31&lt;=500,h_PORT_500,IF(C31&lt;=1000,h_PORT_1KG,h_PORT_2KG))+h_TPL_PREP</f>
        <v/>
      </c>
      <c r="J31" s="14">
        <f>h_STRIPE_PCT*D31+h_STRIPE_FIXE</f>
        <v/>
      </c>
      <c r="K31" s="14">
        <f>0</f>
        <v/>
      </c>
      <c r="L31" s="14">
        <f>h_CPA_REALISTE</f>
        <v/>
      </c>
      <c r="M31" s="14">
        <f>h_PROV_RETOURS*F31</f>
        <v/>
      </c>
      <c r="N31" s="14">
        <f>0</f>
        <v/>
      </c>
      <c r="O31" s="18">
        <f>F31-SUM(G31:N31)</f>
        <v/>
      </c>
      <c r="P31" s="11">
        <f>O31/F31</f>
        <v/>
      </c>
      <c r="Q31" s="15">
        <f>F31/(O31+L31)</f>
        <v/>
      </c>
      <c r="R31" s="15">
        <f>D31/(O31+L31)</f>
        <v/>
      </c>
      <c r="S31" s="14">
        <f>(O31+L31)</f>
        <v/>
      </c>
    </row>
    <row r="32">
      <c r="A32" t="inlineStr">
        <is>
          <t>Site, publicité au CPA optimiste — Grand kit</t>
        </is>
      </c>
      <c r="B32" t="inlineStr">
        <is>
          <t>Site + publicité</t>
        </is>
      </c>
      <c r="C32" s="16">
        <f>h_ROU_POIDS+h_RAC_POIDS+h_GAN_POIDS</f>
        <v/>
      </c>
      <c r="D32" s="14">
        <f>h_GK_PRIX+IF(h_GK_PRIX&lt;h_SEUIL_GRATUIT,h_PORT_CLIENT_TTC,0)</f>
        <v/>
      </c>
      <c r="E32" s="14">
        <f>D32-D32/(1+h_TVA)</f>
        <v/>
      </c>
      <c r="F32" s="14">
        <f>D32-E32</f>
        <v/>
      </c>
      <c r="G32" s="14">
        <f>h_IMP_ROU+h_IMP_RAC+h_IMP_GAN</f>
        <v/>
      </c>
      <c r="H32" s="14">
        <f>0</f>
        <v/>
      </c>
      <c r="I32" s="14">
        <f>IF(C32&lt;=500,h_PORT_500,IF(C32&lt;=1000,h_PORT_1KG,h_PORT_2KG))+h_TPL_PREP</f>
        <v/>
      </c>
      <c r="J32" s="14">
        <f>h_STRIPE_PCT*D32+h_STRIPE_FIXE</f>
        <v/>
      </c>
      <c r="K32" s="14">
        <f>0</f>
        <v/>
      </c>
      <c r="L32" s="14">
        <f>h_CPA_OPTIMISTE</f>
        <v/>
      </c>
      <c r="M32" s="14">
        <f>h_PROV_RETOURS*F32</f>
        <v/>
      </c>
      <c r="N32" s="14">
        <f>0</f>
        <v/>
      </c>
      <c r="O32" s="18">
        <f>F32-SUM(G32:N32)</f>
        <v/>
      </c>
      <c r="P32" s="11">
        <f>O32/F32</f>
        <v/>
      </c>
      <c r="Q32" s="15">
        <f>F32/(O32+L32)</f>
        <v/>
      </c>
      <c r="R32" s="15">
        <f>D32/(O32+L32)</f>
        <v/>
      </c>
      <c r="S32" s="14">
        <f>(O32+L32)</f>
        <v/>
      </c>
    </row>
    <row r="34">
      <c r="A34" s="4" t="inlineStr">
        <is>
          <t>Société en franchise en base de TVA — micro-stock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A35" s="3" t="inlineStr">
        <is>
          <t>Cas</t>
        </is>
      </c>
      <c r="B35" s="3" t="inlineStr">
        <is>
          <t>Canal</t>
        </is>
      </c>
      <c r="C35" s="3" t="inlineStr">
        <is>
          <t>Poids (g)</t>
        </is>
      </c>
      <c r="D35" s="3" t="inlineStr">
        <is>
          <t>Prix payé TTC</t>
        </is>
      </c>
      <c r="E35" s="3" t="inlineStr">
        <is>
          <t>TVA collectée</t>
        </is>
      </c>
      <c r="F35" s="3" t="inlineStr">
        <is>
          <t>CA HT (base)</t>
        </is>
      </c>
      <c r="G35" s="3" t="inlineStr">
        <is>
          <t>Coût produit</t>
        </is>
      </c>
      <c r="H35" s="3" t="inlineStr">
        <is>
          <t>Droits de douane</t>
        </is>
      </c>
      <c r="I35" s="3" t="inlineStr">
        <is>
          <t>Livraison + emballage</t>
        </is>
      </c>
      <c r="J35" s="3" t="inlineStr">
        <is>
          <t>Frais de paiement</t>
        </is>
      </c>
      <c r="K35" s="3" t="inlineStr">
        <is>
          <t>Commission TikTok Shop</t>
        </is>
      </c>
      <c r="L35" s="3" t="inlineStr">
        <is>
          <t>Commission créateur ou pub</t>
        </is>
      </c>
      <c r="M35" s="3" t="inlineStr">
        <is>
          <t>Provision retours / litiges</t>
        </is>
      </c>
      <c r="N35" s="3" t="inlineStr">
        <is>
          <t>Cotisations micro</t>
        </is>
      </c>
      <c r="O35" s="3" t="inlineStr">
        <is>
          <t>Marge de contribution</t>
        </is>
      </c>
      <c r="P35" s="3" t="inlineStr">
        <is>
          <t>% du CA HT</t>
        </is>
      </c>
      <c r="Q35" s="3" t="inlineStr">
        <is>
          <t>ROAS de rentabilité HT</t>
        </is>
      </c>
      <c r="R35" s="3" t="inlineStr">
        <is>
          <t>ROAS de rentabilité TTC</t>
        </is>
      </c>
      <c r="S35" s="3" t="inlineStr">
        <is>
          <t>CPA maximal</t>
        </is>
      </c>
    </row>
    <row r="36">
      <c r="A36" t="inlineStr">
        <is>
          <t>Site — Rouleau seul (+3,90 € de port)</t>
        </is>
      </c>
      <c r="B36" t="inlineStr">
        <is>
          <t>Site</t>
        </is>
      </c>
      <c r="C36" s="16">
        <f>h_ROU_POIDS</f>
        <v/>
      </c>
      <c r="D36" s="14">
        <f>h_ROU_PRIX+IF(h_ROU_PRIX&lt;h_SEUIL_GRATUIT,h_PORT_CLIENT_TTC,0)</f>
        <v/>
      </c>
      <c r="E36" s="14">
        <f>0</f>
        <v/>
      </c>
      <c r="F36" s="14">
        <f>D36-E36</f>
        <v/>
      </c>
      <c r="G36" s="14">
        <f>(h_ROU_PROD)*(1+h_TVA)</f>
        <v/>
      </c>
      <c r="H36" s="14">
        <f>(h_ROU_DROITS)*(1+h_TVA)</f>
        <v/>
      </c>
      <c r="I36" s="14">
        <f>IF(C36&lt;=500,h_PORT_500+h_EMB_PETIT,IF(C36&lt;=1000,h_PORT_1KG+h_EMB_GRAND,h_PORT_2KG+h_EMB_GRAND))*(1+h_TVA)</f>
        <v/>
      </c>
      <c r="J36" s="14">
        <f>h_STRIPE_PCT*D36+h_STRIPE_FIXE</f>
        <v/>
      </c>
      <c r="K36" s="14">
        <f>0</f>
        <v/>
      </c>
      <c r="L36" s="14">
        <f>0</f>
        <v/>
      </c>
      <c r="M36" s="14">
        <f>h_PROV_RETOURS*F36</f>
        <v/>
      </c>
      <c r="N36" s="14">
        <f>0</f>
        <v/>
      </c>
      <c r="O36" s="18">
        <f>F36-SUM(G36:N36)</f>
        <v/>
      </c>
      <c r="P36" s="11">
        <f>O36/F36</f>
        <v/>
      </c>
      <c r="Q36" s="15">
        <f>F36/O36</f>
        <v/>
      </c>
      <c r="R36" s="15">
        <f>D36/O36</f>
        <v/>
      </c>
      <c r="S36" s="14">
        <f>O36</f>
        <v/>
      </c>
    </row>
    <row r="37">
      <c r="A37" t="inlineStr">
        <is>
          <t>Site — Kit anti-poils (+3,90 € de port)</t>
        </is>
      </c>
      <c r="B37" t="inlineStr">
        <is>
          <t>Site</t>
        </is>
      </c>
      <c r="C37" s="16">
        <f>h_ROU_POIDS+h_GAN_POIDS</f>
        <v/>
      </c>
      <c r="D37" s="14">
        <f>h_KAP_PRIX+IF(h_KAP_PRIX&lt;h_SEUIL_GRATUIT,h_PORT_CLIENT_TTC,0)</f>
        <v/>
      </c>
      <c r="E37" s="14">
        <f>0</f>
        <v/>
      </c>
      <c r="F37" s="14">
        <f>D37-E37</f>
        <v/>
      </c>
      <c r="G37" s="14">
        <f>(h_ROU_PROD+h_GAN_PROD)*(1+h_TVA)</f>
        <v/>
      </c>
      <c r="H37" s="14">
        <f>(h_ROU_DROITS+h_GAN_DROITS)*(1+h_TVA)</f>
        <v/>
      </c>
      <c r="I37" s="14">
        <f>IF(C37&lt;=500,h_PORT_500+h_EMB_PETIT,IF(C37&lt;=1000,h_PORT_1KG+h_EMB_GRAND,h_PORT_2KG+h_EMB_GRAND))*(1+h_TVA)</f>
        <v/>
      </c>
      <c r="J37" s="14">
        <f>h_STRIPE_PCT*D37+h_STRIPE_FIXE</f>
        <v/>
      </c>
      <c r="K37" s="14">
        <f>0</f>
        <v/>
      </c>
      <c r="L37" s="14">
        <f>0</f>
        <v/>
      </c>
      <c r="M37" s="14">
        <f>h_PROV_RETOURS*F37</f>
        <v/>
      </c>
      <c r="N37" s="14">
        <f>0</f>
        <v/>
      </c>
      <c r="O37" s="18">
        <f>F37-SUM(G37:N37)</f>
        <v/>
      </c>
      <c r="P37" s="11">
        <f>O37/F37</f>
        <v/>
      </c>
      <c r="Q37" s="15">
        <f>F37/O37</f>
        <v/>
      </c>
      <c r="R37" s="15">
        <f>D37/O37</f>
        <v/>
      </c>
      <c r="S37" s="14">
        <f>O37</f>
        <v/>
      </c>
    </row>
    <row r="38">
      <c r="A38" t="inlineStr">
        <is>
          <t>Site — Grand kit (port offert)</t>
        </is>
      </c>
      <c r="B38" t="inlineStr">
        <is>
          <t>Site</t>
        </is>
      </c>
      <c r="C38" s="16">
        <f>h_ROU_POIDS+h_RAC_POIDS+h_GAN_POIDS</f>
        <v/>
      </c>
      <c r="D38" s="14">
        <f>h_GK_PRIX+IF(h_GK_PRIX&lt;h_SEUIL_GRATUIT,h_PORT_CLIENT_TTC,0)</f>
        <v/>
      </c>
      <c r="E38" s="14">
        <f>0</f>
        <v/>
      </c>
      <c r="F38" s="14">
        <f>D38-E38</f>
        <v/>
      </c>
      <c r="G38" s="14">
        <f>(h_ROU_PROD+h_RAC_PROD+h_GAN_PROD)*(1+h_TVA)</f>
        <v/>
      </c>
      <c r="H38" s="14">
        <f>(h_ROU_DROITS+h_RAC_DROITS+h_GAN_DROITS)*(1+h_TVA)</f>
        <v/>
      </c>
      <c r="I38" s="14">
        <f>IF(C38&lt;=500,h_PORT_500+h_EMB_PETIT,IF(C38&lt;=1000,h_PORT_1KG+h_EMB_GRAND,h_PORT_2KG+h_EMB_GRAND))*(1+h_TVA)</f>
        <v/>
      </c>
      <c r="J38" s="14">
        <f>h_STRIPE_PCT*D38+h_STRIPE_FIXE</f>
        <v/>
      </c>
      <c r="K38" s="14">
        <f>0</f>
        <v/>
      </c>
      <c r="L38" s="14">
        <f>0</f>
        <v/>
      </c>
      <c r="M38" s="14">
        <f>h_PROV_RETOURS*F38</f>
        <v/>
      </c>
      <c r="N38" s="14">
        <f>0</f>
        <v/>
      </c>
      <c r="O38" s="18">
        <f>F38-SUM(G38:N38)</f>
        <v/>
      </c>
      <c r="P38" s="11">
        <f>O38/F38</f>
        <v/>
      </c>
      <c r="Q38" s="15">
        <f>F38/O38</f>
        <v/>
      </c>
      <c r="R38" s="15">
        <f>D38/O38</f>
        <v/>
      </c>
      <c r="S38" s="14">
        <f>O38</f>
        <v/>
      </c>
    </row>
    <row r="39">
      <c r="A39" t="inlineStr">
        <is>
          <t>Site — Duo 2 rouleaux (port offert)</t>
        </is>
      </c>
      <c r="B39" t="inlineStr">
        <is>
          <t>Site</t>
        </is>
      </c>
      <c r="C39" s="16">
        <f>h_ROU_POIDS+h_ROU_POIDS</f>
        <v/>
      </c>
      <c r="D39" s="14">
        <f>h_DUO_PRIX+IF(h_DUO_PRIX&lt;h_SEUIL_GRATUIT,h_PORT_CLIENT_TTC,0)</f>
        <v/>
      </c>
      <c r="E39" s="14">
        <f>0</f>
        <v/>
      </c>
      <c r="F39" s="14">
        <f>D39-E39</f>
        <v/>
      </c>
      <c r="G39" s="14">
        <f>(h_ROU_PROD+h_ROU_PROD)*(1+h_TVA)</f>
        <v/>
      </c>
      <c r="H39" s="14">
        <f>(h_ROU_DROITS+h_ROU_DROITS)*(1+h_TVA)</f>
        <v/>
      </c>
      <c r="I39" s="14">
        <f>IF(C39&lt;=500,h_PORT_500+h_EMB_PETIT,IF(C39&lt;=1000,h_PORT_1KG+h_EMB_GRAND,h_PORT_2KG+h_EMB_GRAND))*(1+h_TVA)</f>
        <v/>
      </c>
      <c r="J39" s="14">
        <f>h_STRIPE_PCT*D39+h_STRIPE_FIXE</f>
        <v/>
      </c>
      <c r="K39" s="14">
        <f>0</f>
        <v/>
      </c>
      <c r="L39" s="14">
        <f>0</f>
        <v/>
      </c>
      <c r="M39" s="14">
        <f>h_PROV_RETOURS*F39</f>
        <v/>
      </c>
      <c r="N39" s="14">
        <f>0</f>
        <v/>
      </c>
      <c r="O39" s="18">
        <f>F39-SUM(G39:N39)</f>
        <v/>
      </c>
      <c r="P39" s="11">
        <f>O39/F39</f>
        <v/>
      </c>
      <c r="Q39" s="15">
        <f>F39/O39</f>
        <v/>
      </c>
      <c r="R39" s="15">
        <f>D39/O39</f>
        <v/>
      </c>
      <c r="S39" s="14">
        <f>O39</f>
        <v/>
      </c>
    </row>
    <row r="40">
      <c r="A40" t="inlineStr">
        <is>
          <t>TikTok Shop, contenu propre — Rouleau</t>
        </is>
      </c>
      <c r="B40" t="inlineStr">
        <is>
          <t>TikTok Shop</t>
        </is>
      </c>
      <c r="C40" s="16">
        <f>h_ROU_POIDS</f>
        <v/>
      </c>
      <c r="D40" s="14">
        <f>h_ROU_PRIX</f>
        <v/>
      </c>
      <c r="E40" s="14">
        <f>0</f>
        <v/>
      </c>
      <c r="F40" s="14">
        <f>D40-E40</f>
        <v/>
      </c>
      <c r="G40" s="14">
        <f>(h_ROU_PROD)*(1+h_TVA)</f>
        <v/>
      </c>
      <c r="H40" s="14">
        <f>(h_ROU_DROITS)*(1+h_TVA)</f>
        <v/>
      </c>
      <c r="I40" s="14">
        <f>IF(C40&lt;=500,h_PORT_500+h_EMB_PETIT,IF(C40&lt;=1000,h_PORT_1KG+h_EMB_GRAND,h_PORT_2KG+h_EMB_GRAND))*(1+h_TVA)</f>
        <v/>
      </c>
      <c r="J40" s="14">
        <f>0</f>
        <v/>
      </c>
      <c r="K40" s="14">
        <f>h_TTS_COMM*D40*(1+h_TVA)</f>
        <v/>
      </c>
      <c r="L40" s="14">
        <f>0</f>
        <v/>
      </c>
      <c r="M40" s="14">
        <f>h_PROV_RETOURS*F40</f>
        <v/>
      </c>
      <c r="N40" s="14">
        <f>0</f>
        <v/>
      </c>
      <c r="O40" s="18">
        <f>F40-SUM(G40:N40)</f>
        <v/>
      </c>
      <c r="P40" s="11">
        <f>O40/F40</f>
        <v/>
      </c>
      <c r="Q40" s="15">
        <f>F40/O40</f>
        <v/>
      </c>
      <c r="R40" s="15">
        <f>D40/O40</f>
        <v/>
      </c>
      <c r="S40" s="14">
        <f>O40</f>
        <v/>
      </c>
    </row>
    <row r="41">
      <c r="A41" t="inlineStr">
        <is>
          <t>TikTok Shop, contenu propre — Kit anti-poils</t>
        </is>
      </c>
      <c r="B41" t="inlineStr">
        <is>
          <t>TikTok Shop</t>
        </is>
      </c>
      <c r="C41" s="16">
        <f>h_ROU_POIDS+h_GAN_POIDS</f>
        <v/>
      </c>
      <c r="D41" s="14">
        <f>h_KAP_PRIX</f>
        <v/>
      </c>
      <c r="E41" s="14">
        <f>0</f>
        <v/>
      </c>
      <c r="F41" s="14">
        <f>D41-E41</f>
        <v/>
      </c>
      <c r="G41" s="14">
        <f>(h_ROU_PROD+h_GAN_PROD)*(1+h_TVA)</f>
        <v/>
      </c>
      <c r="H41" s="14">
        <f>(h_ROU_DROITS+h_GAN_DROITS)*(1+h_TVA)</f>
        <v/>
      </c>
      <c r="I41" s="14">
        <f>IF(C41&lt;=500,h_PORT_500+h_EMB_PETIT,IF(C41&lt;=1000,h_PORT_1KG+h_EMB_GRAND,h_PORT_2KG+h_EMB_GRAND))*(1+h_TVA)</f>
        <v/>
      </c>
      <c r="J41" s="14">
        <f>0</f>
        <v/>
      </c>
      <c r="K41" s="14">
        <f>h_TTS_COMM*D41*(1+h_TVA)</f>
        <v/>
      </c>
      <c r="L41" s="14">
        <f>0</f>
        <v/>
      </c>
      <c r="M41" s="14">
        <f>h_PROV_RETOURS*F41</f>
        <v/>
      </c>
      <c r="N41" s="14">
        <f>0</f>
        <v/>
      </c>
      <c r="O41" s="18">
        <f>F41-SUM(G41:N41)</f>
        <v/>
      </c>
      <c r="P41" s="11">
        <f>O41/F41</f>
        <v/>
      </c>
      <c r="Q41" s="15">
        <f>F41/O41</f>
        <v/>
      </c>
      <c r="R41" s="15">
        <f>D41/O41</f>
        <v/>
      </c>
      <c r="S41" s="14">
        <f>O41</f>
        <v/>
      </c>
    </row>
    <row r="42">
      <c r="A42" t="inlineStr">
        <is>
          <t>TikTok Shop, affilié 15 % — Rouleau</t>
        </is>
      </c>
      <c r="B42" t="inlineStr">
        <is>
          <t>TikTok Shop</t>
        </is>
      </c>
      <c r="C42" s="16">
        <f>h_ROU_POIDS</f>
        <v/>
      </c>
      <c r="D42" s="14">
        <f>h_ROU_PRIX</f>
        <v/>
      </c>
      <c r="E42" s="14">
        <f>0</f>
        <v/>
      </c>
      <c r="F42" s="14">
        <f>D42-E42</f>
        <v/>
      </c>
      <c r="G42" s="14">
        <f>(h_ROU_PROD)*(1+h_TVA)</f>
        <v/>
      </c>
      <c r="H42" s="14">
        <f>(h_ROU_DROITS)*(1+h_TVA)</f>
        <v/>
      </c>
      <c r="I42" s="14">
        <f>IF(C42&lt;=500,h_PORT_500+h_EMB_PETIT,IF(C42&lt;=1000,h_PORT_1KG+h_EMB_GRAND,h_PORT_2KG+h_EMB_GRAND))*(1+h_TVA)</f>
        <v/>
      </c>
      <c r="J42" s="14">
        <f>0</f>
        <v/>
      </c>
      <c r="K42" s="14">
        <f>h_TTS_COMM*D42*(1+h_TVA)</f>
        <v/>
      </c>
      <c r="L42" s="14">
        <f>h_CREA_COMM*D42*(1+h_TVA)</f>
        <v/>
      </c>
      <c r="M42" s="14">
        <f>h_PROV_RETOURS*F42</f>
        <v/>
      </c>
      <c r="N42" s="14">
        <f>0</f>
        <v/>
      </c>
      <c r="O42" s="18">
        <f>F42-SUM(G42:N42)</f>
        <v/>
      </c>
      <c r="P42" s="11">
        <f>O42/F42</f>
        <v/>
      </c>
    </row>
    <row r="43">
      <c r="A43" t="inlineStr">
        <is>
          <t>TikTok Shop, affilié 15 % — Kit anti-poils</t>
        </is>
      </c>
      <c r="B43" t="inlineStr">
        <is>
          <t>TikTok Shop</t>
        </is>
      </c>
      <c r="C43" s="16">
        <f>h_ROU_POIDS+h_GAN_POIDS</f>
        <v/>
      </c>
      <c r="D43" s="14">
        <f>h_KAP_PRIX</f>
        <v/>
      </c>
      <c r="E43" s="14">
        <f>0</f>
        <v/>
      </c>
      <c r="F43" s="14">
        <f>D43-E43</f>
        <v/>
      </c>
      <c r="G43" s="14">
        <f>(h_ROU_PROD+h_GAN_PROD)*(1+h_TVA)</f>
        <v/>
      </c>
      <c r="H43" s="14">
        <f>(h_ROU_DROITS+h_GAN_DROITS)*(1+h_TVA)</f>
        <v/>
      </c>
      <c r="I43" s="14">
        <f>IF(C43&lt;=500,h_PORT_500+h_EMB_PETIT,IF(C43&lt;=1000,h_PORT_1KG+h_EMB_GRAND,h_PORT_2KG+h_EMB_GRAND))*(1+h_TVA)</f>
        <v/>
      </c>
      <c r="J43" s="14">
        <f>0</f>
        <v/>
      </c>
      <c r="K43" s="14">
        <f>h_TTS_COMM*D43*(1+h_TVA)</f>
        <v/>
      </c>
      <c r="L43" s="14">
        <f>h_CREA_COMM*D43*(1+h_TVA)</f>
        <v/>
      </c>
      <c r="M43" s="14">
        <f>h_PROV_RETOURS*F43</f>
        <v/>
      </c>
      <c r="N43" s="14">
        <f>0</f>
        <v/>
      </c>
      <c r="O43" s="18">
        <f>F43-SUM(G43:N43)</f>
        <v/>
      </c>
      <c r="P43" s="11">
        <f>O43/F43</f>
        <v/>
      </c>
    </row>
    <row r="45">
      <c r="A45" s="4" t="inlineStr">
        <is>
          <t>Micro-entreprise en franchise de TVA — micro-stock (après cotisations de 12,3 %)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</row>
    <row r="46">
      <c r="A46" s="3" t="inlineStr">
        <is>
          <t>Cas</t>
        </is>
      </c>
      <c r="B46" s="3" t="inlineStr">
        <is>
          <t>Canal</t>
        </is>
      </c>
      <c r="C46" s="3" t="inlineStr">
        <is>
          <t>Poids (g)</t>
        </is>
      </c>
      <c r="D46" s="3" t="inlineStr">
        <is>
          <t>Prix payé TTC</t>
        </is>
      </c>
      <c r="E46" s="3" t="inlineStr">
        <is>
          <t>TVA collectée</t>
        </is>
      </c>
      <c r="F46" s="3" t="inlineStr">
        <is>
          <t>CA HT (base)</t>
        </is>
      </c>
      <c r="G46" s="3" t="inlineStr">
        <is>
          <t>Coût produit</t>
        </is>
      </c>
      <c r="H46" s="3" t="inlineStr">
        <is>
          <t>Droits de douane</t>
        </is>
      </c>
      <c r="I46" s="3" t="inlineStr">
        <is>
          <t>Livraison + emballage</t>
        </is>
      </c>
      <c r="J46" s="3" t="inlineStr">
        <is>
          <t>Frais de paiement</t>
        </is>
      </c>
      <c r="K46" s="3" t="inlineStr">
        <is>
          <t>Commission TikTok Shop</t>
        </is>
      </c>
      <c r="L46" s="3" t="inlineStr">
        <is>
          <t>Commission créateur ou pub</t>
        </is>
      </c>
      <c r="M46" s="3" t="inlineStr">
        <is>
          <t>Provision retours / litiges</t>
        </is>
      </c>
      <c r="N46" s="3" t="inlineStr">
        <is>
          <t>Cotisations micro</t>
        </is>
      </c>
      <c r="O46" s="3" t="inlineStr">
        <is>
          <t>Marge de contribution</t>
        </is>
      </c>
      <c r="P46" s="3" t="inlineStr">
        <is>
          <t>% du CA HT</t>
        </is>
      </c>
      <c r="Q46" s="3" t="inlineStr">
        <is>
          <t>ROAS de rentabilité HT</t>
        </is>
      </c>
      <c r="R46" s="3" t="inlineStr">
        <is>
          <t>ROAS de rentabilité TTC</t>
        </is>
      </c>
      <c r="S46" s="3" t="inlineStr">
        <is>
          <t>CPA maximal</t>
        </is>
      </c>
    </row>
    <row r="47">
      <c r="A47" t="inlineStr">
        <is>
          <t>Site — Rouleau seul (+3,90 € de port)</t>
        </is>
      </c>
      <c r="B47" t="inlineStr">
        <is>
          <t>Site</t>
        </is>
      </c>
      <c r="C47" s="16">
        <f>h_ROU_POIDS</f>
        <v/>
      </c>
      <c r="D47" s="14">
        <f>h_ROU_PRIX+IF(h_ROU_PRIX&lt;h_SEUIL_GRATUIT,h_PORT_CLIENT_TTC,0)</f>
        <v/>
      </c>
      <c r="E47" s="14">
        <f>0</f>
        <v/>
      </c>
      <c r="F47" s="14">
        <f>D47-E47</f>
        <v/>
      </c>
      <c r="G47" s="14">
        <f>(h_ROU_PROD)*(1+h_TVA)</f>
        <v/>
      </c>
      <c r="H47" s="14">
        <f>(h_ROU_DROITS)*(1+h_TVA)</f>
        <v/>
      </c>
      <c r="I47" s="14">
        <f>IF(C47&lt;=500,h_PORT_500+h_EMB_PETIT,IF(C47&lt;=1000,h_PORT_1KG+h_EMB_GRAND,h_PORT_2KG+h_EMB_GRAND))*(1+h_TVA)</f>
        <v/>
      </c>
      <c r="J47" s="14">
        <f>h_STRIPE_PCT*D47+h_STRIPE_FIXE</f>
        <v/>
      </c>
      <c r="K47" s="14">
        <f>0</f>
        <v/>
      </c>
      <c r="L47" s="14">
        <f>0</f>
        <v/>
      </c>
      <c r="M47" s="14">
        <f>h_PROV_RETOURS*F47</f>
        <v/>
      </c>
      <c r="N47" s="14">
        <f>h_MICRO_COTIS*D47</f>
        <v/>
      </c>
      <c r="O47" s="18">
        <f>F47-SUM(G47:N47)</f>
        <v/>
      </c>
      <c r="P47" s="11">
        <f>O47/F47</f>
        <v/>
      </c>
      <c r="Q47" s="15">
        <f>F47/O47</f>
        <v/>
      </c>
      <c r="R47" s="15">
        <f>D47/O47</f>
        <v/>
      </c>
      <c r="S47" s="14">
        <f>O47</f>
        <v/>
      </c>
    </row>
    <row r="48">
      <c r="A48" t="inlineStr">
        <is>
          <t>Site — Kit anti-poils (+3,90 € de port)</t>
        </is>
      </c>
      <c r="B48" t="inlineStr">
        <is>
          <t>Site</t>
        </is>
      </c>
      <c r="C48" s="16">
        <f>h_ROU_POIDS+h_GAN_POIDS</f>
        <v/>
      </c>
      <c r="D48" s="14">
        <f>h_KAP_PRIX+IF(h_KAP_PRIX&lt;h_SEUIL_GRATUIT,h_PORT_CLIENT_TTC,0)</f>
        <v/>
      </c>
      <c r="E48" s="14">
        <f>0</f>
        <v/>
      </c>
      <c r="F48" s="14">
        <f>D48-E48</f>
        <v/>
      </c>
      <c r="G48" s="14">
        <f>(h_ROU_PROD+h_GAN_PROD)*(1+h_TVA)</f>
        <v/>
      </c>
      <c r="H48" s="14">
        <f>(h_ROU_DROITS+h_GAN_DROITS)*(1+h_TVA)</f>
        <v/>
      </c>
      <c r="I48" s="14">
        <f>IF(C48&lt;=500,h_PORT_500+h_EMB_PETIT,IF(C48&lt;=1000,h_PORT_1KG+h_EMB_GRAND,h_PORT_2KG+h_EMB_GRAND))*(1+h_TVA)</f>
        <v/>
      </c>
      <c r="J48" s="14">
        <f>h_STRIPE_PCT*D48+h_STRIPE_FIXE</f>
        <v/>
      </c>
      <c r="K48" s="14">
        <f>0</f>
        <v/>
      </c>
      <c r="L48" s="14">
        <f>0</f>
        <v/>
      </c>
      <c r="M48" s="14">
        <f>h_PROV_RETOURS*F48</f>
        <v/>
      </c>
      <c r="N48" s="14">
        <f>h_MICRO_COTIS*D48</f>
        <v/>
      </c>
      <c r="O48" s="18">
        <f>F48-SUM(G48:N48)</f>
        <v/>
      </c>
      <c r="P48" s="11">
        <f>O48/F48</f>
        <v/>
      </c>
      <c r="Q48" s="15">
        <f>F48/O48</f>
        <v/>
      </c>
      <c r="R48" s="15">
        <f>D48/O48</f>
        <v/>
      </c>
      <c r="S48" s="14">
        <f>O48</f>
        <v/>
      </c>
    </row>
    <row r="49">
      <c r="A49" t="inlineStr">
        <is>
          <t>Site — Grand kit (port offert)</t>
        </is>
      </c>
      <c r="B49" t="inlineStr">
        <is>
          <t>Site</t>
        </is>
      </c>
      <c r="C49" s="16">
        <f>h_ROU_POIDS+h_RAC_POIDS+h_GAN_POIDS</f>
        <v/>
      </c>
      <c r="D49" s="14">
        <f>h_GK_PRIX+IF(h_GK_PRIX&lt;h_SEUIL_GRATUIT,h_PORT_CLIENT_TTC,0)</f>
        <v/>
      </c>
      <c r="E49" s="14">
        <f>0</f>
        <v/>
      </c>
      <c r="F49" s="14">
        <f>D49-E49</f>
        <v/>
      </c>
      <c r="G49" s="14">
        <f>(h_ROU_PROD+h_RAC_PROD+h_GAN_PROD)*(1+h_TVA)</f>
        <v/>
      </c>
      <c r="H49" s="14">
        <f>(h_ROU_DROITS+h_RAC_DROITS+h_GAN_DROITS)*(1+h_TVA)</f>
        <v/>
      </c>
      <c r="I49" s="14">
        <f>IF(C49&lt;=500,h_PORT_500+h_EMB_PETIT,IF(C49&lt;=1000,h_PORT_1KG+h_EMB_GRAND,h_PORT_2KG+h_EMB_GRAND))*(1+h_TVA)</f>
        <v/>
      </c>
      <c r="J49" s="14">
        <f>h_STRIPE_PCT*D49+h_STRIPE_FIXE</f>
        <v/>
      </c>
      <c r="K49" s="14">
        <f>0</f>
        <v/>
      </c>
      <c r="L49" s="14">
        <f>0</f>
        <v/>
      </c>
      <c r="M49" s="14">
        <f>h_PROV_RETOURS*F49</f>
        <v/>
      </c>
      <c r="N49" s="14">
        <f>h_MICRO_COTIS*D49</f>
        <v/>
      </c>
      <c r="O49" s="18">
        <f>F49-SUM(G49:N49)</f>
        <v/>
      </c>
      <c r="P49" s="11">
        <f>O49/F49</f>
        <v/>
      </c>
      <c r="Q49" s="15">
        <f>F49/O49</f>
        <v/>
      </c>
      <c r="R49" s="15">
        <f>D49/O49</f>
        <v/>
      </c>
      <c r="S49" s="14">
        <f>O49</f>
        <v/>
      </c>
    </row>
    <row r="50">
      <c r="A50" t="inlineStr">
        <is>
          <t>Site — Duo 2 rouleaux (port offert)</t>
        </is>
      </c>
      <c r="B50" t="inlineStr">
        <is>
          <t>Site</t>
        </is>
      </c>
      <c r="C50" s="16">
        <f>h_ROU_POIDS+h_ROU_POIDS</f>
        <v/>
      </c>
      <c r="D50" s="14">
        <f>h_DUO_PRIX+IF(h_DUO_PRIX&lt;h_SEUIL_GRATUIT,h_PORT_CLIENT_TTC,0)</f>
        <v/>
      </c>
      <c r="E50" s="14">
        <f>0</f>
        <v/>
      </c>
      <c r="F50" s="14">
        <f>D50-E50</f>
        <v/>
      </c>
      <c r="G50" s="14">
        <f>(h_ROU_PROD+h_ROU_PROD)*(1+h_TVA)</f>
        <v/>
      </c>
      <c r="H50" s="14">
        <f>(h_ROU_DROITS+h_ROU_DROITS)*(1+h_TVA)</f>
        <v/>
      </c>
      <c r="I50" s="14">
        <f>IF(C50&lt;=500,h_PORT_500+h_EMB_PETIT,IF(C50&lt;=1000,h_PORT_1KG+h_EMB_GRAND,h_PORT_2KG+h_EMB_GRAND))*(1+h_TVA)</f>
        <v/>
      </c>
      <c r="J50" s="14">
        <f>h_STRIPE_PCT*D50+h_STRIPE_FIXE</f>
        <v/>
      </c>
      <c r="K50" s="14">
        <f>0</f>
        <v/>
      </c>
      <c r="L50" s="14">
        <f>0</f>
        <v/>
      </c>
      <c r="M50" s="14">
        <f>h_PROV_RETOURS*F50</f>
        <v/>
      </c>
      <c r="N50" s="14">
        <f>h_MICRO_COTIS*D50</f>
        <v/>
      </c>
      <c r="O50" s="18">
        <f>F50-SUM(G50:N50)</f>
        <v/>
      </c>
      <c r="P50" s="11">
        <f>O50/F50</f>
        <v/>
      </c>
      <c r="Q50" s="15">
        <f>F50/O50</f>
        <v/>
      </c>
      <c r="R50" s="15">
        <f>D50/O50</f>
        <v/>
      </c>
      <c r="S50" s="14">
        <f>O50</f>
        <v/>
      </c>
    </row>
    <row r="51">
      <c r="A51" t="inlineStr">
        <is>
          <t>TikTok Shop, contenu propre — Rouleau</t>
        </is>
      </c>
      <c r="B51" t="inlineStr">
        <is>
          <t>TikTok Shop</t>
        </is>
      </c>
      <c r="C51" s="16">
        <f>h_ROU_POIDS</f>
        <v/>
      </c>
      <c r="D51" s="14">
        <f>h_ROU_PRIX</f>
        <v/>
      </c>
      <c r="E51" s="14">
        <f>0</f>
        <v/>
      </c>
      <c r="F51" s="14">
        <f>D51-E51</f>
        <v/>
      </c>
      <c r="G51" s="14">
        <f>(h_ROU_PROD)*(1+h_TVA)</f>
        <v/>
      </c>
      <c r="H51" s="14">
        <f>(h_ROU_DROITS)*(1+h_TVA)</f>
        <v/>
      </c>
      <c r="I51" s="14">
        <f>IF(C51&lt;=500,h_PORT_500+h_EMB_PETIT,IF(C51&lt;=1000,h_PORT_1KG+h_EMB_GRAND,h_PORT_2KG+h_EMB_GRAND))*(1+h_TVA)</f>
        <v/>
      </c>
      <c r="J51" s="14">
        <f>0</f>
        <v/>
      </c>
      <c r="K51" s="14">
        <f>h_TTS_COMM*D51*(1+h_TVA)</f>
        <v/>
      </c>
      <c r="L51" s="14">
        <f>0</f>
        <v/>
      </c>
      <c r="M51" s="14">
        <f>h_PROV_RETOURS*F51</f>
        <v/>
      </c>
      <c r="N51" s="14">
        <f>h_MICRO_COTIS*D51</f>
        <v/>
      </c>
      <c r="O51" s="18">
        <f>F51-SUM(G51:N51)</f>
        <v/>
      </c>
      <c r="P51" s="11">
        <f>O51/F51</f>
        <v/>
      </c>
      <c r="Q51" s="15">
        <f>F51/O51</f>
        <v/>
      </c>
      <c r="R51" s="15">
        <f>D51/O51</f>
        <v/>
      </c>
      <c r="S51" s="14">
        <f>O51</f>
        <v/>
      </c>
    </row>
    <row r="52">
      <c r="A52" t="inlineStr">
        <is>
          <t>TikTok Shop, contenu propre — Kit anti-poils</t>
        </is>
      </c>
      <c r="B52" t="inlineStr">
        <is>
          <t>TikTok Shop</t>
        </is>
      </c>
      <c r="C52" s="16">
        <f>h_ROU_POIDS+h_GAN_POIDS</f>
        <v/>
      </c>
      <c r="D52" s="14">
        <f>h_KAP_PRIX</f>
        <v/>
      </c>
      <c r="E52" s="14">
        <f>0</f>
        <v/>
      </c>
      <c r="F52" s="14">
        <f>D52-E52</f>
        <v/>
      </c>
      <c r="G52" s="14">
        <f>(h_ROU_PROD+h_GAN_PROD)*(1+h_TVA)</f>
        <v/>
      </c>
      <c r="H52" s="14">
        <f>(h_ROU_DROITS+h_GAN_DROITS)*(1+h_TVA)</f>
        <v/>
      </c>
      <c r="I52" s="14">
        <f>IF(C52&lt;=500,h_PORT_500+h_EMB_PETIT,IF(C52&lt;=1000,h_PORT_1KG+h_EMB_GRAND,h_PORT_2KG+h_EMB_GRAND))*(1+h_TVA)</f>
        <v/>
      </c>
      <c r="J52" s="14">
        <f>0</f>
        <v/>
      </c>
      <c r="K52" s="14">
        <f>h_TTS_COMM*D52*(1+h_TVA)</f>
        <v/>
      </c>
      <c r="L52" s="14">
        <f>0</f>
        <v/>
      </c>
      <c r="M52" s="14">
        <f>h_PROV_RETOURS*F52</f>
        <v/>
      </c>
      <c r="N52" s="14">
        <f>h_MICRO_COTIS*D52</f>
        <v/>
      </c>
      <c r="O52" s="18">
        <f>F52-SUM(G52:N52)</f>
        <v/>
      </c>
      <c r="P52" s="11">
        <f>O52/F52</f>
        <v/>
      </c>
      <c r="Q52" s="15">
        <f>F52/O52</f>
        <v/>
      </c>
      <c r="R52" s="15">
        <f>D52/O52</f>
        <v/>
      </c>
      <c r="S52" s="14">
        <f>O52</f>
        <v/>
      </c>
    </row>
    <row r="53">
      <c r="A53" t="inlineStr">
        <is>
          <t>TikTok Shop, affilié 15 % — Rouleau</t>
        </is>
      </c>
      <c r="B53" t="inlineStr">
        <is>
          <t>TikTok Shop</t>
        </is>
      </c>
      <c r="C53" s="16">
        <f>h_ROU_POIDS</f>
        <v/>
      </c>
      <c r="D53" s="14">
        <f>h_ROU_PRIX</f>
        <v/>
      </c>
      <c r="E53" s="14">
        <f>0</f>
        <v/>
      </c>
      <c r="F53" s="14">
        <f>D53-E53</f>
        <v/>
      </c>
      <c r="G53" s="14">
        <f>(h_ROU_PROD)*(1+h_TVA)</f>
        <v/>
      </c>
      <c r="H53" s="14">
        <f>(h_ROU_DROITS)*(1+h_TVA)</f>
        <v/>
      </c>
      <c r="I53" s="14">
        <f>IF(C53&lt;=500,h_PORT_500+h_EMB_PETIT,IF(C53&lt;=1000,h_PORT_1KG+h_EMB_GRAND,h_PORT_2KG+h_EMB_GRAND))*(1+h_TVA)</f>
        <v/>
      </c>
      <c r="J53" s="14">
        <f>0</f>
        <v/>
      </c>
      <c r="K53" s="14">
        <f>h_TTS_COMM*D53*(1+h_TVA)</f>
        <v/>
      </c>
      <c r="L53" s="14">
        <f>h_CREA_COMM*D53*(1+h_TVA)</f>
        <v/>
      </c>
      <c r="M53" s="14">
        <f>h_PROV_RETOURS*F53</f>
        <v/>
      </c>
      <c r="N53" s="14">
        <f>h_MICRO_COTIS*D53</f>
        <v/>
      </c>
      <c r="O53" s="18">
        <f>F53-SUM(G53:N53)</f>
        <v/>
      </c>
      <c r="P53" s="11">
        <f>O53/F53</f>
        <v/>
      </c>
    </row>
    <row r="54">
      <c r="A54" t="inlineStr">
        <is>
          <t>TikTok Shop, affilié 15 % — Kit anti-poils</t>
        </is>
      </c>
      <c r="B54" t="inlineStr">
        <is>
          <t>TikTok Shop</t>
        </is>
      </c>
      <c r="C54" s="16">
        <f>h_ROU_POIDS+h_GAN_POIDS</f>
        <v/>
      </c>
      <c r="D54" s="14">
        <f>h_KAP_PRIX</f>
        <v/>
      </c>
      <c r="E54" s="14">
        <f>0</f>
        <v/>
      </c>
      <c r="F54" s="14">
        <f>D54-E54</f>
        <v/>
      </c>
      <c r="G54" s="14">
        <f>(h_ROU_PROD+h_GAN_PROD)*(1+h_TVA)</f>
        <v/>
      </c>
      <c r="H54" s="14">
        <f>(h_ROU_DROITS+h_GAN_DROITS)*(1+h_TVA)</f>
        <v/>
      </c>
      <c r="I54" s="14">
        <f>IF(C54&lt;=500,h_PORT_500+h_EMB_PETIT,IF(C54&lt;=1000,h_PORT_1KG+h_EMB_GRAND,h_PORT_2KG+h_EMB_GRAND))*(1+h_TVA)</f>
        <v/>
      </c>
      <c r="J54" s="14">
        <f>0</f>
        <v/>
      </c>
      <c r="K54" s="14">
        <f>h_TTS_COMM*D54*(1+h_TVA)</f>
        <v/>
      </c>
      <c r="L54" s="14">
        <f>h_CREA_COMM*D54*(1+h_TVA)</f>
        <v/>
      </c>
      <c r="M54" s="14">
        <f>h_PROV_RETOURS*F54</f>
        <v/>
      </c>
      <c r="N54" s="14">
        <f>h_MICRO_COTIS*D54</f>
        <v/>
      </c>
      <c r="O54" s="18">
        <f>F54-SUM(G54:N54)</f>
        <v/>
      </c>
      <c r="P54" s="11">
        <f>O54/F54</f>
        <v/>
      </c>
    </row>
    <row r="56">
      <c r="A56" s="4" t="inlineStr">
        <is>
          <t>Composantes moyennes par commande et par canal (utilisées par les scénarios)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</row>
    <row r="57">
      <c r="A57" s="3" t="inlineStr">
        <is>
          <t>Nom Excel</t>
        </is>
      </c>
      <c r="B57" s="3" t="inlineStr">
        <is>
          <t>Définition</t>
        </is>
      </c>
      <c r="C57" s="3" t="inlineStr">
        <is>
          <t>Valeur</t>
        </is>
      </c>
    </row>
    <row r="58">
      <c r="A58" t="inlineStr">
        <is>
          <t>ue_SITE_TTC</t>
        </is>
      </c>
      <c r="B58" t="inlineStr">
        <is>
          <t>Site organique : panier TTC</t>
        </is>
      </c>
      <c r="C58" s="14">
        <f>h_SITE_ROU*(D6)+h_SITE_KAP*(D10)+h_SITE_GK*(D11)+h_SITE_DUO*(D12)</f>
        <v/>
      </c>
    </row>
    <row r="59">
      <c r="A59" t="inlineStr">
        <is>
          <t>ue_SITE_HT</t>
        </is>
      </c>
      <c r="B59" t="inlineStr">
        <is>
          <t>Site organique : CA HT</t>
        </is>
      </c>
      <c r="C59" s="14">
        <f>h_SITE_ROU*(F6)+h_SITE_KAP*(F10)+h_SITE_GK*(F11)+h_SITE_DUO*(F12)</f>
        <v/>
      </c>
    </row>
    <row r="60">
      <c r="A60" t="inlineStr">
        <is>
          <t>ue_SITE_PAY</t>
        </is>
      </c>
      <c r="B60" t="inlineStr">
        <is>
          <t>Site organique : frais de paiement</t>
        </is>
      </c>
      <c r="C60" s="14">
        <f>h_SITE_ROU*(J6)+h_SITE_KAP*(J10)+h_SITE_GK*(J11)+h_SITE_DUO*(J12)</f>
        <v/>
      </c>
    </row>
    <row r="61">
      <c r="A61" t="inlineStr">
        <is>
          <t>ue_TTS_TTC</t>
        </is>
      </c>
      <c r="B61" t="inlineStr">
        <is>
          <t>TikTok Shop : panier TTC</t>
        </is>
      </c>
      <c r="C61" s="14">
        <f>h_TTS_ROU*(D14)+h_TTS_KAP*(D15)</f>
        <v/>
      </c>
    </row>
    <row r="62">
      <c r="A62" t="inlineStr">
        <is>
          <t>ue_TTS_HT</t>
        </is>
      </c>
      <c r="B62" t="inlineStr">
        <is>
          <t>TikTok Shop : CA HT</t>
        </is>
      </c>
      <c r="C62" s="14">
        <f>h_TTS_ROU*(F14)+h_TTS_KAP*(F15)</f>
        <v/>
      </c>
    </row>
    <row r="63">
      <c r="A63" t="inlineStr">
        <is>
          <t>ue_PUB_TTC</t>
        </is>
      </c>
      <c r="B63" t="inlineStr">
        <is>
          <t>Commande payante (Grand kit) : prix TTC</t>
        </is>
      </c>
      <c r="C63" s="14">
        <f>D11</f>
        <v/>
      </c>
    </row>
    <row r="64">
      <c r="A64" t="inlineStr">
        <is>
          <t>ue_PUB_HT</t>
        </is>
      </c>
      <c r="B64" t="inlineStr">
        <is>
          <t>Commande payante : CA HT</t>
        </is>
      </c>
      <c r="C64" s="14">
        <f>F11</f>
        <v/>
      </c>
    </row>
    <row r="65">
      <c r="A65" t="inlineStr">
        <is>
          <t>ue_PUB_PAY</t>
        </is>
      </c>
      <c r="B65" t="inlineStr">
        <is>
          <t>Commande payante : frais de paiement</t>
        </is>
      </c>
      <c r="C65" s="14">
        <f>J11</f>
        <v/>
      </c>
    </row>
    <row r="66">
      <c r="A66" t="inlineStr">
        <is>
          <t>ue_SITE_PROD_MS</t>
        </is>
      </c>
      <c r="B66" t="inlineStr">
        <is>
          <t>Site : produit + droits, micro-stock</t>
        </is>
      </c>
      <c r="C66" s="14">
        <f>h_SITE_ROU*(G6+H6)+h_SITE_KAP*(G10+H10)+h_SITE_GK*(G11+H11)+h_SITE_DUO*(G12+H12)</f>
        <v/>
      </c>
    </row>
    <row r="67">
      <c r="A67" t="inlineStr">
        <is>
          <t>ue_SITE_LOG_MS</t>
        </is>
      </c>
      <c r="B67" t="inlineStr">
        <is>
          <t>Site : livraison, micro-stock</t>
        </is>
      </c>
      <c r="C67" s="14">
        <f>h_SITE_ROU*(I6)+h_SITE_KAP*(I10)+h_SITE_GK*(I11)+h_SITE_DUO*(I12)</f>
        <v/>
      </c>
    </row>
    <row r="68">
      <c r="A68" t="inlineStr">
        <is>
          <t>ue_SITE_MARGE_MS</t>
        </is>
      </c>
      <c r="B68" t="inlineStr">
        <is>
          <t>Site : marge de contribution, micro-stock</t>
        </is>
      </c>
      <c r="C68" s="18">
        <f>h_SITE_ROU*(O6)+h_SITE_KAP*(O10)+h_SITE_GK*(O11)+h_SITE_DUO*(O12)</f>
        <v/>
      </c>
    </row>
    <row r="69">
      <c r="A69" t="inlineStr">
        <is>
          <t>ue_TTS_PROD_MS</t>
        </is>
      </c>
      <c r="B69" t="inlineStr">
        <is>
          <t>TikTok Shop : produit + droits, micro-stock</t>
        </is>
      </c>
      <c r="C69" s="14">
        <f>h_TTS_ROU*(G14+H14)+h_TTS_KAP*(G15+H15)</f>
        <v/>
      </c>
    </row>
    <row r="70">
      <c r="A70" t="inlineStr">
        <is>
          <t>ue_TTS_LOG_MS</t>
        </is>
      </c>
      <c r="B70" t="inlineStr">
        <is>
          <t>TikTok Shop : livraison, micro-stock</t>
        </is>
      </c>
      <c r="C70" s="14">
        <f>h_TTS_ROU*(I14)+h_TTS_KAP*(I15)</f>
        <v/>
      </c>
    </row>
    <row r="71">
      <c r="A71" t="inlineStr">
        <is>
          <t>ue_PROPRE_MARGE_MS</t>
        </is>
      </c>
      <c r="B71" t="inlineStr">
        <is>
          <t>TikTok Shop contenu propre (9 %) : marge, micro-stock</t>
        </is>
      </c>
      <c r="C71" s="18">
        <f>h_TTS_ROU*(O14)+h_TTS_KAP*(O15)</f>
        <v/>
      </c>
    </row>
    <row r="72">
      <c r="A72" t="inlineStr">
        <is>
          <t>ue_AFF_MARGE_MS</t>
        </is>
      </c>
      <c r="B72" t="inlineStr">
        <is>
          <t>TikTok Shop affilié (9 % + 15 %) : marge, micro-stock</t>
        </is>
      </c>
      <c r="C72" s="18">
        <f>h_TTS_ROU*(O17)+h_TTS_KAP*(O18)</f>
        <v/>
      </c>
    </row>
    <row r="73">
      <c r="A73" t="inlineStr">
        <is>
          <t>ue_PUB_PROD_MS</t>
        </is>
      </c>
      <c r="B73" t="inlineStr">
        <is>
          <t>Commande payante : produit + droits, micro-stock</t>
        </is>
      </c>
      <c r="C73" s="14">
        <f>G11+H11</f>
        <v/>
      </c>
    </row>
    <row r="74">
      <c r="A74" t="inlineStr">
        <is>
          <t>ue_PUB_LOG_MS</t>
        </is>
      </c>
      <c r="B74" t="inlineStr">
        <is>
          <t>Commande payante : livraison, micro-stock</t>
        </is>
      </c>
      <c r="C74" s="14">
        <f>I11</f>
        <v/>
      </c>
    </row>
    <row r="75">
      <c r="A75" t="inlineStr">
        <is>
          <t>ue_PUB_MARGE_AVANT_PUB_MS</t>
        </is>
      </c>
      <c r="B75" t="inlineStr">
        <is>
          <t>Commande payante : marge avant publicité, micro-stock</t>
        </is>
      </c>
      <c r="C75" s="18">
        <f>O11</f>
        <v/>
      </c>
    </row>
    <row r="76">
      <c r="A76" t="inlineStr">
        <is>
          <t>ue_MIX_MARGE_MS</t>
        </is>
      </c>
      <c r="B76" t="inlineStr">
        <is>
          <t>Mix de lancement (20/22/58) : marge moyenne, micro-stock</t>
        </is>
      </c>
      <c r="C76" s="18">
        <f>h_MIX_SITE*ue_SITE_MARGE_MS+h_MIX_PROPRE*ue_PROPRE_MARGE_MS+h_MIX_AFF*ue_AFF_MARGE_MS</f>
        <v/>
      </c>
    </row>
    <row r="77">
      <c r="A77" t="inlineStr">
        <is>
          <t>ue_MIX_PROD_MS</t>
        </is>
      </c>
      <c r="B77" t="inlineStr">
        <is>
          <t>Mix : produit + droits, micro-stock</t>
        </is>
      </c>
      <c r="C77" s="14">
        <f>h_MIX_SITE*ue_SITE_PROD_MS+(1-h_MIX_SITE)*ue_TTS_PROD_MS</f>
        <v/>
      </c>
    </row>
    <row r="78">
      <c r="A78" t="inlineStr">
        <is>
          <t>ue_MIX_LOG_MS</t>
        </is>
      </c>
      <c r="B78" t="inlineStr">
        <is>
          <t>Mix : livraison, micro-stock</t>
        </is>
      </c>
      <c r="C78" s="14">
        <f>h_MIX_SITE*ue_SITE_LOG_MS+(1-h_MIX_SITE)*ue_TTS_LOG_MS</f>
        <v/>
      </c>
    </row>
    <row r="79">
      <c r="A79" t="inlineStr">
        <is>
          <t>ue_SITE_PROD_IMP</t>
        </is>
      </c>
      <c r="B79" t="inlineStr">
        <is>
          <t>Site : produit + droits, import + 3PL</t>
        </is>
      </c>
      <c r="C79" s="14">
        <f>h_SITE_ROU*(G23+H23)+h_SITE_KAP*(G24+H24)+h_SITE_GK*(G25+H25)+h_SITE_DUO*(G26+H26)</f>
        <v/>
      </c>
    </row>
    <row r="80">
      <c r="A80" t="inlineStr">
        <is>
          <t>ue_SITE_LOG_IMP</t>
        </is>
      </c>
      <c r="B80" t="inlineStr">
        <is>
          <t>Site : livraison, import + 3PL</t>
        </is>
      </c>
      <c r="C80" s="14">
        <f>h_SITE_ROU*(I23)+h_SITE_KAP*(I24)+h_SITE_GK*(I25)+h_SITE_DUO*(I26)</f>
        <v/>
      </c>
    </row>
    <row r="81">
      <c r="A81" t="inlineStr">
        <is>
          <t>ue_SITE_MARGE_IMP</t>
        </is>
      </c>
      <c r="B81" t="inlineStr">
        <is>
          <t>Site : marge de contribution, import + 3PL</t>
        </is>
      </c>
      <c r="C81" s="18">
        <f>h_SITE_ROU*(O23)+h_SITE_KAP*(O24)+h_SITE_GK*(O25)+h_SITE_DUO*(O26)</f>
        <v/>
      </c>
    </row>
    <row r="82">
      <c r="A82" t="inlineStr">
        <is>
          <t>ue_TTS_PROD_IMP</t>
        </is>
      </c>
      <c r="B82" t="inlineStr">
        <is>
          <t>TikTok Shop : produit + droits, import + 3PL</t>
        </is>
      </c>
      <c r="C82" s="14">
        <f>h_TTS_ROU*(G27+H27)+h_TTS_KAP*(G28+H28)</f>
        <v/>
      </c>
    </row>
    <row r="83">
      <c r="A83" t="inlineStr">
        <is>
          <t>ue_TTS_LOG_IMP</t>
        </is>
      </c>
      <c r="B83" t="inlineStr">
        <is>
          <t>TikTok Shop : livraison, import + 3PL</t>
        </is>
      </c>
      <c r="C83" s="14">
        <f>h_TTS_ROU*(I27)+h_TTS_KAP*(I28)</f>
        <v/>
      </c>
    </row>
    <row r="84">
      <c r="A84" t="inlineStr">
        <is>
          <t>ue_PROPRE_MARGE_IMP</t>
        </is>
      </c>
      <c r="B84" t="inlineStr">
        <is>
          <t>TikTok Shop contenu propre (9 %) : marge, import + 3PL</t>
        </is>
      </c>
      <c r="C84" s="18">
        <f>h_TTS_ROU*(O27)+h_TTS_KAP*(O28)</f>
        <v/>
      </c>
    </row>
    <row r="85">
      <c r="A85" t="inlineStr">
        <is>
          <t>ue_AFF_MARGE_IMP</t>
        </is>
      </c>
      <c r="B85" t="inlineStr">
        <is>
          <t>TikTok Shop affilié (9 % + 15 %) : marge, import + 3PL</t>
        </is>
      </c>
      <c r="C85" s="18">
        <f>h_TTS_ROU*(O29)+h_TTS_KAP*(O30)</f>
        <v/>
      </c>
    </row>
    <row r="86">
      <c r="A86" t="inlineStr">
        <is>
          <t>ue_PUB_PROD_IMP</t>
        </is>
      </c>
      <c r="B86" t="inlineStr">
        <is>
          <t>Commande payante : produit + droits, import + 3PL</t>
        </is>
      </c>
      <c r="C86" s="14">
        <f>G25+H25</f>
        <v/>
      </c>
    </row>
    <row r="87">
      <c r="A87" t="inlineStr">
        <is>
          <t>ue_PUB_LOG_IMP</t>
        </is>
      </c>
      <c r="B87" t="inlineStr">
        <is>
          <t>Commande payante : livraison, import + 3PL</t>
        </is>
      </c>
      <c r="C87" s="14">
        <f>I25</f>
        <v/>
      </c>
    </row>
    <row r="88">
      <c r="A88" t="inlineStr">
        <is>
          <t>ue_PUB_MARGE_AVANT_PUB_IMP</t>
        </is>
      </c>
      <c r="B88" t="inlineStr">
        <is>
          <t>Commande payante : marge avant publicité, import + 3PL</t>
        </is>
      </c>
      <c r="C88" s="18">
        <f>O25</f>
        <v/>
      </c>
    </row>
    <row r="89">
      <c r="A89" t="inlineStr">
        <is>
          <t>ue_MIX_MARGE_IMP</t>
        </is>
      </c>
      <c r="B89" t="inlineStr">
        <is>
          <t>Mix de lancement (20/22/58) : marge moyenne, import + 3PL</t>
        </is>
      </c>
      <c r="C89" s="18">
        <f>h_MIX_SITE*ue_SITE_MARGE_IMP+h_MIX_PROPRE*ue_PROPRE_MARGE_IMP+h_MIX_AFF*ue_AFF_MARGE_IMP</f>
        <v/>
      </c>
    </row>
    <row r="90">
      <c r="A90" t="inlineStr">
        <is>
          <t>ue_MIX_PROD_IMP</t>
        </is>
      </c>
      <c r="B90" t="inlineStr">
        <is>
          <t>Mix : produit + droits, import + 3PL</t>
        </is>
      </c>
      <c r="C90" s="14">
        <f>h_MIX_SITE*ue_SITE_PROD_IMP+(1-h_MIX_SITE)*ue_TTS_PROD_IMP</f>
        <v/>
      </c>
    </row>
    <row r="91">
      <c r="A91" t="inlineStr">
        <is>
          <t>ue_MIX_LOG_IMP</t>
        </is>
      </c>
      <c r="B91" t="inlineStr">
        <is>
          <t>Mix : livraison, import + 3PL</t>
        </is>
      </c>
      <c r="C91" s="14">
        <f>h_MIX_SITE*ue_SITE_LOG_IMP+(1-h_MIX_SITE)*ue_TTS_LOG_IMP</f>
        <v/>
      </c>
    </row>
    <row r="92">
      <c r="A92" t="inlineStr">
        <is>
          <t>ue_MIX_TTC</t>
        </is>
      </c>
      <c r="B92" t="inlineStr">
        <is>
          <t>Mix : panier moyen TTC</t>
        </is>
      </c>
      <c r="C92" s="14">
        <f>h_MIX_SITE*ue_SITE_TTC+(1-h_MIX_SITE)*ue_TTS_TTC</f>
        <v/>
      </c>
    </row>
    <row r="93">
      <c r="A93" t="inlineStr">
        <is>
          <t>ue_MIX_HT</t>
        </is>
      </c>
      <c r="B93" t="inlineStr">
        <is>
          <t>Mix : CA HT moyen</t>
        </is>
      </c>
      <c r="C93" s="14">
        <f>h_MIX_SITE*ue_SITE_HT+(1-h_MIX_SITE)*ue_TTS_HT</f>
        <v/>
      </c>
    </row>
    <row r="94">
      <c r="A94" t="inlineStr">
        <is>
          <t>ue_SITE_MARGE_FR</t>
        </is>
      </c>
      <c r="B94" t="inlineStr">
        <is>
          <t>Site : marge, franchise de TVA</t>
        </is>
      </c>
      <c r="C94" s="18">
        <f>h_SITE_ROU*(O36)+h_SITE_KAP*(O37)+h_SITE_GK*(O38)+h_SITE_DUO*(O39)</f>
        <v/>
      </c>
    </row>
    <row r="95">
      <c r="A95" t="inlineStr">
        <is>
          <t>ue_PROPRE_MARGE_FR</t>
        </is>
      </c>
      <c r="B95" t="inlineStr">
        <is>
          <t>TikTok Shop contenu propre : marge, franchise de TVA</t>
        </is>
      </c>
      <c r="C95" s="18">
        <f>h_TTS_ROU*(O40)+h_TTS_KAP*(O41)</f>
        <v/>
      </c>
    </row>
    <row r="96">
      <c r="A96" t="inlineStr">
        <is>
          <t>ue_AFF_MARGE_FR</t>
        </is>
      </c>
      <c r="B96" t="inlineStr">
        <is>
          <t>TikTok Shop affilié : marge, franchise de TVA</t>
        </is>
      </c>
      <c r="C96" s="18">
        <f>h_TTS_ROU*(O42)+h_TTS_KAP*(O43)</f>
        <v/>
      </c>
    </row>
    <row r="97">
      <c r="A97" t="inlineStr">
        <is>
          <t>ue_MIX_MARGE_FR</t>
        </is>
      </c>
      <c r="B97" t="inlineStr">
        <is>
          <t>Mix de lancement : marge moyenne, franchise de TVA</t>
        </is>
      </c>
      <c r="C97" s="18">
        <f>h_MIX_SITE*ue_SITE_MARGE_FR+h_MIX_PROPRE*ue_PROPRE_MARGE_FR+h_MIX_AFF*ue_AFF_MARGE_FR</f>
        <v/>
      </c>
    </row>
    <row r="98">
      <c r="A98" t="inlineStr">
        <is>
          <t>ue_SITE_MARGE_MICRO</t>
        </is>
      </c>
      <c r="B98" t="inlineStr">
        <is>
          <t>Site : marge, micro-entreprise</t>
        </is>
      </c>
      <c r="C98" s="18">
        <f>h_SITE_ROU*(O47)+h_SITE_KAP*(O48)+h_SITE_GK*(O49)+h_SITE_DUO*(O50)</f>
        <v/>
      </c>
    </row>
    <row r="99">
      <c r="A99" t="inlineStr">
        <is>
          <t>ue_PROPRE_MARGE_MICRO</t>
        </is>
      </c>
      <c r="B99" t="inlineStr">
        <is>
          <t>TikTok Shop contenu propre : marge, micro-entreprise</t>
        </is>
      </c>
      <c r="C99" s="18">
        <f>h_TTS_ROU*(O51)+h_TTS_KAP*(O52)</f>
        <v/>
      </c>
    </row>
    <row r="100">
      <c r="A100" t="inlineStr">
        <is>
          <t>ue_AFF_MARGE_MICRO</t>
        </is>
      </c>
      <c r="B100" t="inlineStr">
        <is>
          <t>TikTok Shop affilié : marge, micro-entreprise</t>
        </is>
      </c>
      <c r="C100" s="18">
        <f>h_TTS_ROU*(O53)+h_TTS_KAP*(O54)</f>
        <v/>
      </c>
    </row>
    <row r="101">
      <c r="A101" t="inlineStr">
        <is>
          <t>ue_MIX_MARGE_MICRO</t>
        </is>
      </c>
      <c r="B101" t="inlineStr">
        <is>
          <t>Mix de lancement : marge moyenne, micro-entreprise</t>
        </is>
      </c>
      <c r="C101" s="18">
        <f>h_MIX_SITE*ue_SITE_MARGE_MICRO+h_MIX_PROPRE*ue_PROPRE_MARGE_MICRO+h_MIX_AFF*ue_AFF_MARGE_MICRO</f>
        <v/>
      </c>
    </row>
    <row r="103">
      <c r="A103" s="4" t="inlineStr">
        <is>
          <t>Seuils de rentabilité publicitaire et point mort</t>
        </is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</row>
    <row r="104">
      <c r="A104" s="3" t="inlineStr">
        <is>
          <t>Offre</t>
        </is>
      </c>
      <c r="B104" s="3" t="inlineStr">
        <is>
          <t>Marge avant pub (€)</t>
        </is>
      </c>
      <c r="C104" s="3" t="inlineStr">
        <is>
          <t>% du CA HT</t>
        </is>
      </c>
      <c r="D104" s="3" t="inlineStr">
        <is>
          <t>ROAS rentabilité HT</t>
        </is>
      </c>
      <c r="E104" s="3" t="inlineStr">
        <is>
          <t>ROAS rentabilité TTC</t>
        </is>
      </c>
      <c r="F104" s="3" t="inlineStr">
        <is>
          <t>CPA maximal (€)</t>
        </is>
      </c>
      <c r="G104" s="3" t="inlineStr">
        <is>
          <t>CPA cible MER ×1,2 (€)</t>
        </is>
      </c>
      <c r="H104" s="3" t="inlineStr">
        <is>
          <t>ROAS cible TTC</t>
        </is>
      </c>
    </row>
    <row r="105">
      <c r="A105" t="inlineStr">
        <is>
          <t>Site — Rouleau seul (micro-stock)</t>
        </is>
      </c>
      <c r="B105" s="14">
        <f>O6</f>
        <v/>
      </c>
      <c r="C105" s="11">
        <f>O6/F6</f>
        <v/>
      </c>
      <c r="D105" s="15">
        <f>F6/O6</f>
        <v/>
      </c>
      <c r="E105" s="15">
        <f>D6/O6</f>
        <v/>
      </c>
      <c r="F105" s="14">
        <f>O6</f>
        <v/>
      </c>
      <c r="G105" s="14">
        <f>O6/h_MER_MARGE</f>
        <v/>
      </c>
      <c r="H105" s="15">
        <f>D6/(O6/h_MER_MARGE)</f>
        <v/>
      </c>
    </row>
    <row r="106">
      <c r="A106" t="inlineStr">
        <is>
          <t>Site — Kit anti-poils (micro-stock)</t>
        </is>
      </c>
      <c r="B106" s="14">
        <f>O10</f>
        <v/>
      </c>
      <c r="C106" s="11">
        <f>O10/F10</f>
        <v/>
      </c>
      <c r="D106" s="15">
        <f>F10/O10</f>
        <v/>
      </c>
      <c r="E106" s="15">
        <f>D10/O10</f>
        <v/>
      </c>
      <c r="F106" s="14">
        <f>O10</f>
        <v/>
      </c>
      <c r="G106" s="14">
        <f>O10/h_MER_MARGE</f>
        <v/>
      </c>
      <c r="H106" s="15">
        <f>D10/(O10/h_MER_MARGE)</f>
        <v/>
      </c>
    </row>
    <row r="107">
      <c r="A107" t="inlineStr">
        <is>
          <t>Site — Grand kit (micro-stock)</t>
        </is>
      </c>
      <c r="B107" s="14">
        <f>O11</f>
        <v/>
      </c>
      <c r="C107" s="11">
        <f>O11/F11</f>
        <v/>
      </c>
      <c r="D107" s="15">
        <f>F11/O11</f>
        <v/>
      </c>
      <c r="E107" s="15">
        <f>D11/O11</f>
        <v/>
      </c>
      <c r="F107" s="14">
        <f>O11</f>
        <v/>
      </c>
      <c r="G107" s="14">
        <f>O11/h_MER_MARGE</f>
        <v/>
      </c>
      <c r="H107" s="15">
        <f>D11/(O11/h_MER_MARGE)</f>
        <v/>
      </c>
    </row>
    <row r="108">
      <c r="A108" t="inlineStr">
        <is>
          <t>Site — Kit chat d'hiver (micro-stock)</t>
        </is>
      </c>
      <c r="B108" s="14">
        <f>O13</f>
        <v/>
      </c>
      <c r="C108" s="11">
        <f>O13/F13</f>
        <v/>
      </c>
      <c r="D108" s="15">
        <f>F13/O13</f>
        <v/>
      </c>
      <c r="E108" s="15">
        <f>D13/O13</f>
        <v/>
      </c>
      <c r="F108" s="14">
        <f>O13</f>
        <v/>
      </c>
      <c r="G108" s="14">
        <f>O13/h_MER_MARGE</f>
        <v/>
      </c>
      <c r="H108" s="15">
        <f>D13/(O13/h_MER_MARGE)</f>
        <v/>
      </c>
    </row>
    <row r="109">
      <c r="A109" t="inlineStr">
        <is>
          <t>Site — Grand kit (import + 3PL)</t>
        </is>
      </c>
      <c r="B109" s="14">
        <f>O25</f>
        <v/>
      </c>
      <c r="C109" s="11">
        <f>O25/F25</f>
        <v/>
      </c>
      <c r="D109" s="15">
        <f>F25/O25</f>
        <v/>
      </c>
      <c r="E109" s="15">
        <f>D25/O25</f>
        <v/>
      </c>
      <c r="F109" s="14">
        <f>O25</f>
        <v/>
      </c>
      <c r="G109" s="14">
        <f>O25/h_MER_MARGE</f>
        <v/>
      </c>
      <c r="H109" s="15">
        <f>D25/(O25/h_MER_MARGE)</f>
        <v/>
      </c>
    </row>
    <row r="110">
      <c r="A110" t="inlineStr">
        <is>
          <t>Site — Rouleau seul (import + 3PL)</t>
        </is>
      </c>
      <c r="B110" s="14">
        <f>O23</f>
        <v/>
      </c>
      <c r="C110" s="11">
        <f>O23/F23</f>
        <v/>
      </c>
      <c r="D110" s="15">
        <f>F23/O23</f>
        <v/>
      </c>
      <c r="E110" s="15">
        <f>D23/O23</f>
        <v/>
      </c>
      <c r="F110" s="14">
        <f>O23</f>
        <v/>
      </c>
      <c r="G110" s="14">
        <f>O23/h_MER_MARGE</f>
        <v/>
      </c>
      <c r="H110" s="15">
        <f>D23/(O23/h_MER_MARGE)</f>
        <v/>
      </c>
    </row>
    <row r="112">
      <c r="A112" t="inlineStr">
        <is>
          <t>Point mort du palier 1 (commandes / mois)</t>
        </is>
      </c>
      <c r="B112" s="19">
        <f>(h_COMPTABLE+h_BANQUE+h_OUTILS+h_RC+h_DOMICILIATION+h_LEKO/12+h_MEDIATEUR/36+h_DOMAINE/12+h_P1_ECH)/ue_MIX_MARGE_MS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Scénarios sur 18 mois (octobre 2026 → mars 2028) — société assujettie à la TVA</t>
        </is>
      </c>
    </row>
    <row r="2">
      <c r="A2" s="2" t="inlineStr">
        <is>
          <t>Tous les calculs sont des formules. Les saisies (volumes, parts de canal, budgets, frais fixes) sont dans l'onglet Hypothèses. Bénéfice net = avant IS et avant rémunération du dirigeant.</t>
        </is>
      </c>
    </row>
    <row r="4">
      <c r="A4" s="4" t="inlineStr">
        <is>
          <t>Scénario pessimiste — Porte 1 franchie de justesse ; moins d'une commande par jour hors Noël ; peu d'affiliés actifs ; ni import groupé ni publicité.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3" t="inlineStr">
        <is>
          <t>Ligne</t>
        </is>
      </c>
      <c r="B5" s="3" t="inlineStr"/>
      <c r="C5" s="3" t="inlineStr">
        <is>
          <t>oct. 2026</t>
        </is>
      </c>
      <c r="D5" s="3" t="inlineStr">
        <is>
          <t>nov. 2026</t>
        </is>
      </c>
      <c r="E5" s="3" t="inlineStr">
        <is>
          <t>déc. 2026</t>
        </is>
      </c>
      <c r="F5" s="3" t="inlineStr">
        <is>
          <t>janv. 2027</t>
        </is>
      </c>
      <c r="G5" s="3" t="inlineStr">
        <is>
          <t>févr. 2027</t>
        </is>
      </c>
      <c r="H5" s="3" t="inlineStr">
        <is>
          <t>mars 2027</t>
        </is>
      </c>
      <c r="I5" s="3" t="inlineStr">
        <is>
          <t>avr. 2027</t>
        </is>
      </c>
      <c r="J5" s="3" t="inlineStr">
        <is>
          <t>mai 2027</t>
        </is>
      </c>
      <c r="K5" s="3" t="inlineStr">
        <is>
          <t>juin 2027</t>
        </is>
      </c>
      <c r="L5" s="3" t="inlineStr">
        <is>
          <t>juil. 2027</t>
        </is>
      </c>
      <c r="M5" s="3" t="inlineStr">
        <is>
          <t>août 2027</t>
        </is>
      </c>
      <c r="N5" s="3" t="inlineStr">
        <is>
          <t>sept. 2027</t>
        </is>
      </c>
      <c r="O5" s="3" t="inlineStr">
        <is>
          <t>oct. 2027</t>
        </is>
      </c>
      <c r="P5" s="3" t="inlineStr">
        <is>
          <t>nov. 2027</t>
        </is>
      </c>
      <c r="Q5" s="3" t="inlineStr">
        <is>
          <t>déc. 2027</t>
        </is>
      </c>
      <c r="R5" s="3" t="inlineStr">
        <is>
          <t>janv. 2028</t>
        </is>
      </c>
      <c r="S5" s="3" t="inlineStr">
        <is>
          <t>févr. 2028</t>
        </is>
      </c>
      <c r="T5" s="3" t="inlineStr">
        <is>
          <t>mars 2028</t>
        </is>
      </c>
      <c r="U5" s="3" t="inlineStr">
        <is>
          <t>Total 18 mois</t>
        </is>
      </c>
    </row>
    <row r="6">
      <c r="A6" s="20" t="inlineStr">
        <is>
          <t>Exercice</t>
        </is>
      </c>
      <c r="C6">
        <f>'Hypothèses'!C144</f>
        <v/>
      </c>
      <c r="D6">
        <f>'Hypothèses'!D144</f>
        <v/>
      </c>
      <c r="E6">
        <f>'Hypothèses'!E144</f>
        <v/>
      </c>
      <c r="F6">
        <f>'Hypothèses'!F144</f>
        <v/>
      </c>
      <c r="G6">
        <f>'Hypothèses'!G144</f>
        <v/>
      </c>
      <c r="H6">
        <f>'Hypothèses'!H144</f>
        <v/>
      </c>
      <c r="I6">
        <f>'Hypothèses'!I144</f>
        <v/>
      </c>
      <c r="J6">
        <f>'Hypothèses'!J144</f>
        <v/>
      </c>
      <c r="K6">
        <f>'Hypothèses'!K144</f>
        <v/>
      </c>
      <c r="L6">
        <f>'Hypothèses'!L144</f>
        <v/>
      </c>
      <c r="M6">
        <f>'Hypothèses'!M144</f>
        <v/>
      </c>
      <c r="N6">
        <f>'Hypothèses'!N144</f>
        <v/>
      </c>
      <c r="O6">
        <f>'Hypothèses'!O144</f>
        <v/>
      </c>
      <c r="P6">
        <f>'Hypothèses'!P144</f>
        <v/>
      </c>
      <c r="Q6">
        <f>'Hypothèses'!Q144</f>
        <v/>
      </c>
      <c r="R6">
        <f>'Hypothèses'!R144</f>
        <v/>
      </c>
      <c r="S6">
        <f>'Hypothèses'!S144</f>
        <v/>
      </c>
      <c r="T6">
        <f>'Hypothèses'!T144</f>
        <v/>
      </c>
    </row>
    <row r="7">
      <c r="A7" s="20" t="inlineStr">
        <is>
          <t>Commandes site (organique)</t>
        </is>
      </c>
      <c r="C7" s="19">
        <f>'Hypothèses'!C145*'Hypothèses'!C146</f>
        <v/>
      </c>
      <c r="D7" s="19">
        <f>'Hypothèses'!D145*'Hypothèses'!D146</f>
        <v/>
      </c>
      <c r="E7" s="19">
        <f>'Hypothèses'!E145*'Hypothèses'!E146</f>
        <v/>
      </c>
      <c r="F7" s="19">
        <f>'Hypothèses'!F145*'Hypothèses'!F146</f>
        <v/>
      </c>
      <c r="G7" s="19">
        <f>'Hypothèses'!G145*'Hypothèses'!G146</f>
        <v/>
      </c>
      <c r="H7" s="19">
        <f>'Hypothèses'!H145*'Hypothèses'!H146</f>
        <v/>
      </c>
      <c r="I7" s="19">
        <f>'Hypothèses'!I145*'Hypothèses'!I146</f>
        <v/>
      </c>
      <c r="J7" s="19">
        <f>'Hypothèses'!J145*'Hypothèses'!J146</f>
        <v/>
      </c>
      <c r="K7" s="19">
        <f>'Hypothèses'!K145*'Hypothèses'!K146</f>
        <v/>
      </c>
      <c r="L7" s="19">
        <f>'Hypothèses'!L145*'Hypothèses'!L146</f>
        <v/>
      </c>
      <c r="M7" s="19">
        <f>'Hypothèses'!M145*'Hypothèses'!M146</f>
        <v/>
      </c>
      <c r="N7" s="19">
        <f>'Hypothèses'!N145*'Hypothèses'!N146</f>
        <v/>
      </c>
      <c r="O7" s="19">
        <f>'Hypothèses'!O145*'Hypothèses'!O146</f>
        <v/>
      </c>
      <c r="P7" s="19">
        <f>'Hypothèses'!P145*'Hypothèses'!P146</f>
        <v/>
      </c>
      <c r="Q7" s="19">
        <f>'Hypothèses'!Q145*'Hypothèses'!Q146</f>
        <v/>
      </c>
      <c r="R7" s="19">
        <f>'Hypothèses'!R145*'Hypothèses'!R146</f>
        <v/>
      </c>
      <c r="S7" s="19">
        <f>'Hypothèses'!S145*'Hypothèses'!S146</f>
        <v/>
      </c>
      <c r="T7" s="19">
        <f>'Hypothèses'!T145*'Hypothèses'!T146</f>
        <v/>
      </c>
      <c r="U7" s="21">
        <f>SUM(C7:T7)</f>
        <v/>
      </c>
    </row>
    <row r="8">
      <c r="A8" s="20" t="inlineStr">
        <is>
          <t>Commandes TikTok Shop, contenu propre</t>
        </is>
      </c>
      <c r="C8" s="19">
        <f>'Hypothèses'!C145*'Hypothèses'!C147</f>
        <v/>
      </c>
      <c r="D8" s="19">
        <f>'Hypothèses'!D145*'Hypothèses'!D147</f>
        <v/>
      </c>
      <c r="E8" s="19">
        <f>'Hypothèses'!E145*'Hypothèses'!E147</f>
        <v/>
      </c>
      <c r="F8" s="19">
        <f>'Hypothèses'!F145*'Hypothèses'!F147</f>
        <v/>
      </c>
      <c r="G8" s="19">
        <f>'Hypothèses'!G145*'Hypothèses'!G147</f>
        <v/>
      </c>
      <c r="H8" s="19">
        <f>'Hypothèses'!H145*'Hypothèses'!H147</f>
        <v/>
      </c>
      <c r="I8" s="19">
        <f>'Hypothèses'!I145*'Hypothèses'!I147</f>
        <v/>
      </c>
      <c r="J8" s="19">
        <f>'Hypothèses'!J145*'Hypothèses'!J147</f>
        <v/>
      </c>
      <c r="K8" s="19">
        <f>'Hypothèses'!K145*'Hypothèses'!K147</f>
        <v/>
      </c>
      <c r="L8" s="19">
        <f>'Hypothèses'!L145*'Hypothèses'!L147</f>
        <v/>
      </c>
      <c r="M8" s="19">
        <f>'Hypothèses'!M145*'Hypothèses'!M147</f>
        <v/>
      </c>
      <c r="N8" s="19">
        <f>'Hypothèses'!N145*'Hypothèses'!N147</f>
        <v/>
      </c>
      <c r="O8" s="19">
        <f>'Hypothèses'!O145*'Hypothèses'!O147</f>
        <v/>
      </c>
      <c r="P8" s="19">
        <f>'Hypothèses'!P145*'Hypothèses'!P147</f>
        <v/>
      </c>
      <c r="Q8" s="19">
        <f>'Hypothèses'!Q145*'Hypothèses'!Q147</f>
        <v/>
      </c>
      <c r="R8" s="19">
        <f>'Hypothèses'!R145*'Hypothèses'!R147</f>
        <v/>
      </c>
      <c r="S8" s="19">
        <f>'Hypothèses'!S145*'Hypothèses'!S147</f>
        <v/>
      </c>
      <c r="T8" s="19">
        <f>'Hypothèses'!T145*'Hypothèses'!T147</f>
        <v/>
      </c>
      <c r="U8" s="21">
        <f>SUM(C8:T8)</f>
        <v/>
      </c>
    </row>
    <row r="9">
      <c r="A9" s="20" t="inlineStr">
        <is>
          <t>Commandes TikTok Shop, affiliés</t>
        </is>
      </c>
      <c r="C9" s="19">
        <f>'Hypothèses'!C145*'Hypothèses'!C148</f>
        <v/>
      </c>
      <c r="D9" s="19">
        <f>'Hypothèses'!D145*'Hypothèses'!D148</f>
        <v/>
      </c>
      <c r="E9" s="19">
        <f>'Hypothèses'!E145*'Hypothèses'!E148</f>
        <v/>
      </c>
      <c r="F9" s="19">
        <f>'Hypothèses'!F145*'Hypothèses'!F148</f>
        <v/>
      </c>
      <c r="G9" s="19">
        <f>'Hypothèses'!G145*'Hypothèses'!G148</f>
        <v/>
      </c>
      <c r="H9" s="19">
        <f>'Hypothèses'!H145*'Hypothèses'!H148</f>
        <v/>
      </c>
      <c r="I9" s="19">
        <f>'Hypothèses'!I145*'Hypothèses'!I148</f>
        <v/>
      </c>
      <c r="J9" s="19">
        <f>'Hypothèses'!J145*'Hypothèses'!J148</f>
        <v/>
      </c>
      <c r="K9" s="19">
        <f>'Hypothèses'!K145*'Hypothèses'!K148</f>
        <v/>
      </c>
      <c r="L9" s="19">
        <f>'Hypothèses'!L145*'Hypothèses'!L148</f>
        <v/>
      </c>
      <c r="M9" s="19">
        <f>'Hypothèses'!M145*'Hypothèses'!M148</f>
        <v/>
      </c>
      <c r="N9" s="19">
        <f>'Hypothèses'!N145*'Hypothèses'!N148</f>
        <v/>
      </c>
      <c r="O9" s="19">
        <f>'Hypothèses'!O145*'Hypothèses'!O148</f>
        <v/>
      </c>
      <c r="P9" s="19">
        <f>'Hypothèses'!P145*'Hypothèses'!P148</f>
        <v/>
      </c>
      <c r="Q9" s="19">
        <f>'Hypothèses'!Q145*'Hypothèses'!Q148</f>
        <v/>
      </c>
      <c r="R9" s="19">
        <f>'Hypothèses'!R145*'Hypothèses'!R148</f>
        <v/>
      </c>
      <c r="S9" s="19">
        <f>'Hypothèses'!S145*'Hypothèses'!S148</f>
        <v/>
      </c>
      <c r="T9" s="19">
        <f>'Hypothèses'!T145*'Hypothèses'!T148</f>
        <v/>
      </c>
      <c r="U9" s="21">
        <f>SUM(C9:T9)</f>
        <v/>
      </c>
    </row>
    <row r="10">
      <c r="A10" s="20" t="inlineStr">
        <is>
          <t>Commandes issues de la publicité</t>
        </is>
      </c>
      <c r="C10" s="19">
        <f>IF('Hypothèses'!C152&gt;0,'Hypothèses'!C151/'Hypothèses'!C152,0)</f>
        <v/>
      </c>
      <c r="D10" s="19">
        <f>IF('Hypothèses'!D152&gt;0,'Hypothèses'!D151/'Hypothèses'!D152,0)</f>
        <v/>
      </c>
      <c r="E10" s="19">
        <f>IF('Hypothèses'!E152&gt;0,'Hypothèses'!E151/'Hypothèses'!E152,0)</f>
        <v/>
      </c>
      <c r="F10" s="19">
        <f>IF('Hypothèses'!F152&gt;0,'Hypothèses'!F151/'Hypothèses'!F152,0)</f>
        <v/>
      </c>
      <c r="G10" s="19">
        <f>IF('Hypothèses'!G152&gt;0,'Hypothèses'!G151/'Hypothèses'!G152,0)</f>
        <v/>
      </c>
      <c r="H10" s="19">
        <f>IF('Hypothèses'!H152&gt;0,'Hypothèses'!H151/'Hypothèses'!H152,0)</f>
        <v/>
      </c>
      <c r="I10" s="19">
        <f>IF('Hypothèses'!I152&gt;0,'Hypothèses'!I151/'Hypothèses'!I152,0)</f>
        <v/>
      </c>
      <c r="J10" s="19">
        <f>IF('Hypothèses'!J152&gt;0,'Hypothèses'!J151/'Hypothèses'!J152,0)</f>
        <v/>
      </c>
      <c r="K10" s="19">
        <f>IF('Hypothèses'!K152&gt;0,'Hypothèses'!K151/'Hypothèses'!K152,0)</f>
        <v/>
      </c>
      <c r="L10" s="19">
        <f>IF('Hypothèses'!L152&gt;0,'Hypothèses'!L151/'Hypothèses'!L152,0)</f>
        <v/>
      </c>
      <c r="M10" s="19">
        <f>IF('Hypothèses'!M152&gt;0,'Hypothèses'!M151/'Hypothèses'!M152,0)</f>
        <v/>
      </c>
      <c r="N10" s="19">
        <f>IF('Hypothèses'!N152&gt;0,'Hypothèses'!N151/'Hypothèses'!N152,0)</f>
        <v/>
      </c>
      <c r="O10" s="19">
        <f>IF('Hypothèses'!O152&gt;0,'Hypothèses'!O151/'Hypothèses'!O152,0)</f>
        <v/>
      </c>
      <c r="P10" s="19">
        <f>IF('Hypothèses'!P152&gt;0,'Hypothèses'!P151/'Hypothèses'!P152,0)</f>
        <v/>
      </c>
      <c r="Q10" s="19">
        <f>IF('Hypothèses'!Q152&gt;0,'Hypothèses'!Q151/'Hypothèses'!Q152,0)</f>
        <v/>
      </c>
      <c r="R10" s="19">
        <f>IF('Hypothèses'!R152&gt;0,'Hypothèses'!R151/'Hypothèses'!R152,0)</f>
        <v/>
      </c>
      <c r="S10" s="19">
        <f>IF('Hypothèses'!S152&gt;0,'Hypothèses'!S151/'Hypothèses'!S152,0)</f>
        <v/>
      </c>
      <c r="T10" s="19">
        <f>IF('Hypothèses'!T152&gt;0,'Hypothèses'!T151/'Hypothèses'!T152,0)</f>
        <v/>
      </c>
      <c r="U10" s="21">
        <f>SUM(C10:T10)</f>
        <v/>
      </c>
    </row>
    <row r="11">
      <c r="A11" s="22" t="inlineStr">
        <is>
          <t>Commandes totales</t>
        </is>
      </c>
      <c r="C11" s="23">
        <f>C7+C8+C9+C10</f>
        <v/>
      </c>
      <c r="D11" s="23">
        <f>D7+D8+D9+D10</f>
        <v/>
      </c>
      <c r="E11" s="23">
        <f>E7+E8+E9+E10</f>
        <v/>
      </c>
      <c r="F11" s="23">
        <f>F7+F8+F9+F10</f>
        <v/>
      </c>
      <c r="G11" s="23">
        <f>G7+G8+G9+G10</f>
        <v/>
      </c>
      <c r="H11" s="23">
        <f>H7+H8+H9+H10</f>
        <v/>
      </c>
      <c r="I11" s="23">
        <f>I7+I8+I9+I10</f>
        <v/>
      </c>
      <c r="J11" s="23">
        <f>J7+J8+J9+J10</f>
        <v/>
      </c>
      <c r="K11" s="23">
        <f>K7+K8+K9+K10</f>
        <v/>
      </c>
      <c r="L11" s="23">
        <f>L7+L8+L9+L10</f>
        <v/>
      </c>
      <c r="M11" s="23">
        <f>M7+M8+M9+M10</f>
        <v/>
      </c>
      <c r="N11" s="23">
        <f>N7+N8+N9+N10</f>
        <v/>
      </c>
      <c r="O11" s="23">
        <f>O7+O8+O9+O10</f>
        <v/>
      </c>
      <c r="P11" s="23">
        <f>P7+P8+P9+P10</f>
        <v/>
      </c>
      <c r="Q11" s="23">
        <f>Q7+Q8+Q9+Q10</f>
        <v/>
      </c>
      <c r="R11" s="23">
        <f>R7+R8+R9+R10</f>
        <v/>
      </c>
      <c r="S11" s="23">
        <f>S7+S8+S9+S10</f>
        <v/>
      </c>
      <c r="T11" s="23">
        <f>T7+T8+T9+T10</f>
        <v/>
      </c>
      <c r="U11" s="23">
        <f>SUM(C11:T11)</f>
        <v/>
      </c>
    </row>
    <row r="12">
      <c r="A12" s="20" t="inlineStr">
        <is>
          <t>Commandes par jour</t>
        </is>
      </c>
      <c r="C12" s="19">
        <f>C11/30</f>
        <v/>
      </c>
      <c r="D12" s="19">
        <f>D11/30</f>
        <v/>
      </c>
      <c r="E12" s="19">
        <f>E11/30</f>
        <v/>
      </c>
      <c r="F12" s="19">
        <f>F11/30</f>
        <v/>
      </c>
      <c r="G12" s="19">
        <f>G11/30</f>
        <v/>
      </c>
      <c r="H12" s="19">
        <f>H11/30</f>
        <v/>
      </c>
      <c r="I12" s="19">
        <f>I11/30</f>
        <v/>
      </c>
      <c r="J12" s="19">
        <f>J11/30</f>
        <v/>
      </c>
      <c r="K12" s="19">
        <f>K11/30</f>
        <v/>
      </c>
      <c r="L12" s="19">
        <f>L11/30</f>
        <v/>
      </c>
      <c r="M12" s="19">
        <f>M11/30</f>
        <v/>
      </c>
      <c r="N12" s="19">
        <f>N11/30</f>
        <v/>
      </c>
      <c r="O12" s="19">
        <f>O11/30</f>
        <v/>
      </c>
      <c r="P12" s="19">
        <f>P11/30</f>
        <v/>
      </c>
      <c r="Q12" s="19">
        <f>Q11/30</f>
        <v/>
      </c>
      <c r="R12" s="19">
        <f>R11/30</f>
        <v/>
      </c>
      <c r="S12" s="19">
        <f>S11/30</f>
        <v/>
      </c>
      <c r="T12" s="19">
        <f>T11/30</f>
        <v/>
      </c>
    </row>
    <row r="13">
      <c r="A13" s="20" t="inlineStr">
        <is>
          <t>CA TTC</t>
        </is>
      </c>
      <c r="C13" s="24">
        <f>C7*ue_SITE_TTC+(C8+C9)*ue_TTS_TTC+C10*ue_PUB_TTC</f>
        <v/>
      </c>
      <c r="D13" s="24">
        <f>D7*ue_SITE_TTC+(D8+D9)*ue_TTS_TTC+D10*ue_PUB_TTC</f>
        <v/>
      </c>
      <c r="E13" s="24">
        <f>E7*ue_SITE_TTC+(E8+E9)*ue_TTS_TTC+E10*ue_PUB_TTC</f>
        <v/>
      </c>
      <c r="F13" s="24">
        <f>F7*ue_SITE_TTC+(F8+F9)*ue_TTS_TTC+F10*ue_PUB_TTC</f>
        <v/>
      </c>
      <c r="G13" s="24">
        <f>G7*ue_SITE_TTC+(G8+G9)*ue_TTS_TTC+G10*ue_PUB_TTC</f>
        <v/>
      </c>
      <c r="H13" s="24">
        <f>H7*ue_SITE_TTC+(H8+H9)*ue_TTS_TTC+H10*ue_PUB_TTC</f>
        <v/>
      </c>
      <c r="I13" s="24">
        <f>I7*ue_SITE_TTC+(I8+I9)*ue_TTS_TTC+I10*ue_PUB_TTC</f>
        <v/>
      </c>
      <c r="J13" s="24">
        <f>J7*ue_SITE_TTC+(J8+J9)*ue_TTS_TTC+J10*ue_PUB_TTC</f>
        <v/>
      </c>
      <c r="K13" s="24">
        <f>K7*ue_SITE_TTC+(K8+K9)*ue_TTS_TTC+K10*ue_PUB_TTC</f>
        <v/>
      </c>
      <c r="L13" s="24">
        <f>L7*ue_SITE_TTC+(L8+L9)*ue_TTS_TTC+L10*ue_PUB_TTC</f>
        <v/>
      </c>
      <c r="M13" s="24">
        <f>M7*ue_SITE_TTC+(M8+M9)*ue_TTS_TTC+M10*ue_PUB_TTC</f>
        <v/>
      </c>
      <c r="N13" s="24">
        <f>N7*ue_SITE_TTC+(N8+N9)*ue_TTS_TTC+N10*ue_PUB_TTC</f>
        <v/>
      </c>
      <c r="O13" s="24">
        <f>O7*ue_SITE_TTC+(O8+O9)*ue_TTS_TTC+O10*ue_PUB_TTC</f>
        <v/>
      </c>
      <c r="P13" s="24">
        <f>P7*ue_SITE_TTC+(P8+P9)*ue_TTS_TTC+P10*ue_PUB_TTC</f>
        <v/>
      </c>
      <c r="Q13" s="24">
        <f>Q7*ue_SITE_TTC+(Q8+Q9)*ue_TTS_TTC+Q10*ue_PUB_TTC</f>
        <v/>
      </c>
      <c r="R13" s="24">
        <f>R7*ue_SITE_TTC+(R8+R9)*ue_TTS_TTC+R10*ue_PUB_TTC</f>
        <v/>
      </c>
      <c r="S13" s="24">
        <f>S7*ue_SITE_TTC+(S8+S9)*ue_TTS_TTC+S10*ue_PUB_TTC</f>
        <v/>
      </c>
      <c r="T13" s="24">
        <f>T7*ue_SITE_TTC+(T8+T9)*ue_TTS_TTC+T10*ue_PUB_TTC</f>
        <v/>
      </c>
      <c r="U13" s="25">
        <f>SUM(C13:T13)</f>
        <v/>
      </c>
    </row>
    <row r="14">
      <c r="A14" s="22" t="inlineStr">
        <is>
          <t>CA HT</t>
        </is>
      </c>
      <c r="C14" s="25">
        <f>C13/(1+h_TVA)</f>
        <v/>
      </c>
      <c r="D14" s="25">
        <f>D13/(1+h_TVA)</f>
        <v/>
      </c>
      <c r="E14" s="25">
        <f>E13/(1+h_TVA)</f>
        <v/>
      </c>
      <c r="F14" s="25">
        <f>F13/(1+h_TVA)</f>
        <v/>
      </c>
      <c r="G14" s="25">
        <f>G13/(1+h_TVA)</f>
        <v/>
      </c>
      <c r="H14" s="25">
        <f>H13/(1+h_TVA)</f>
        <v/>
      </c>
      <c r="I14" s="25">
        <f>I13/(1+h_TVA)</f>
        <v/>
      </c>
      <c r="J14" s="25">
        <f>J13/(1+h_TVA)</f>
        <v/>
      </c>
      <c r="K14" s="25">
        <f>K13/(1+h_TVA)</f>
        <v/>
      </c>
      <c r="L14" s="25">
        <f>L13/(1+h_TVA)</f>
        <v/>
      </c>
      <c r="M14" s="25">
        <f>M13/(1+h_TVA)</f>
        <v/>
      </c>
      <c r="N14" s="25">
        <f>N13/(1+h_TVA)</f>
        <v/>
      </c>
      <c r="O14" s="25">
        <f>O13/(1+h_TVA)</f>
        <v/>
      </c>
      <c r="P14" s="25">
        <f>P13/(1+h_TVA)</f>
        <v/>
      </c>
      <c r="Q14" s="25">
        <f>Q13/(1+h_TVA)</f>
        <v/>
      </c>
      <c r="R14" s="25">
        <f>R13/(1+h_TVA)</f>
        <v/>
      </c>
      <c r="S14" s="25">
        <f>S13/(1+h_TVA)</f>
        <v/>
      </c>
      <c r="T14" s="25">
        <f>T13/(1+h_TVA)</f>
        <v/>
      </c>
      <c r="U14" s="25">
        <f>SUM(C14:T14)</f>
        <v/>
      </c>
    </row>
    <row r="15">
      <c r="A15" s="20" t="inlineStr">
        <is>
          <t>TVA collectée</t>
        </is>
      </c>
      <c r="C15" s="24">
        <f>C13-C14</f>
        <v/>
      </c>
      <c r="D15" s="24">
        <f>D13-D14</f>
        <v/>
      </c>
      <c r="E15" s="24">
        <f>E13-E14</f>
        <v/>
      </c>
      <c r="F15" s="24">
        <f>F13-F14</f>
        <v/>
      </c>
      <c r="G15" s="24">
        <f>G13-G14</f>
        <v/>
      </c>
      <c r="H15" s="24">
        <f>H13-H14</f>
        <v/>
      </c>
      <c r="I15" s="24">
        <f>I13-I14</f>
        <v/>
      </c>
      <c r="J15" s="24">
        <f>J13-J14</f>
        <v/>
      </c>
      <c r="K15" s="24">
        <f>K13-K14</f>
        <v/>
      </c>
      <c r="L15" s="24">
        <f>L13-L14</f>
        <v/>
      </c>
      <c r="M15" s="24">
        <f>M13-M14</f>
        <v/>
      </c>
      <c r="N15" s="24">
        <f>N13-N14</f>
        <v/>
      </c>
      <c r="O15" s="24">
        <f>O13-O14</f>
        <v/>
      </c>
      <c r="P15" s="24">
        <f>P13-P14</f>
        <v/>
      </c>
      <c r="Q15" s="24">
        <f>Q13-Q14</f>
        <v/>
      </c>
      <c r="R15" s="24">
        <f>R13-R14</f>
        <v/>
      </c>
      <c r="S15" s="24">
        <f>S13-S14</f>
        <v/>
      </c>
      <c r="T15" s="24">
        <f>T13-T14</f>
        <v/>
      </c>
      <c r="U15" s="25">
        <f>SUM(C15:T15)</f>
        <v/>
      </c>
    </row>
    <row r="16">
      <c r="A16" s="20" t="inlineStr">
        <is>
          <t>Coût des produits et droits</t>
        </is>
      </c>
      <c r="C16" s="24">
        <f>C7*IF('Hypothèses'!C150=1,ue_SITE_PROD_IMP,ue_SITE_PROD_MS)+(C8+C9)*IF('Hypothèses'!C150=1,ue_TTS_PROD_IMP,ue_TTS_PROD_MS)+C10*IF('Hypothèses'!C150=1,ue_PUB_PROD_IMP,ue_PUB_PROD_MS)</f>
        <v/>
      </c>
      <c r="D16" s="24">
        <f>D7*IF('Hypothèses'!D150=1,ue_SITE_PROD_IMP,ue_SITE_PROD_MS)+(D8+D9)*IF('Hypothèses'!D150=1,ue_TTS_PROD_IMP,ue_TTS_PROD_MS)+D10*IF('Hypothèses'!D150=1,ue_PUB_PROD_IMP,ue_PUB_PROD_MS)</f>
        <v/>
      </c>
      <c r="E16" s="24">
        <f>E7*IF('Hypothèses'!E150=1,ue_SITE_PROD_IMP,ue_SITE_PROD_MS)+(E8+E9)*IF('Hypothèses'!E150=1,ue_TTS_PROD_IMP,ue_TTS_PROD_MS)+E10*IF('Hypothèses'!E150=1,ue_PUB_PROD_IMP,ue_PUB_PROD_MS)</f>
        <v/>
      </c>
      <c r="F16" s="24">
        <f>F7*IF('Hypothèses'!F150=1,ue_SITE_PROD_IMP,ue_SITE_PROD_MS)+(F8+F9)*IF('Hypothèses'!F150=1,ue_TTS_PROD_IMP,ue_TTS_PROD_MS)+F10*IF('Hypothèses'!F150=1,ue_PUB_PROD_IMP,ue_PUB_PROD_MS)</f>
        <v/>
      </c>
      <c r="G16" s="24">
        <f>G7*IF('Hypothèses'!G150=1,ue_SITE_PROD_IMP,ue_SITE_PROD_MS)+(G8+G9)*IF('Hypothèses'!G150=1,ue_TTS_PROD_IMP,ue_TTS_PROD_MS)+G10*IF('Hypothèses'!G150=1,ue_PUB_PROD_IMP,ue_PUB_PROD_MS)</f>
        <v/>
      </c>
      <c r="H16" s="24">
        <f>H7*IF('Hypothèses'!H150=1,ue_SITE_PROD_IMP,ue_SITE_PROD_MS)+(H8+H9)*IF('Hypothèses'!H150=1,ue_TTS_PROD_IMP,ue_TTS_PROD_MS)+H10*IF('Hypothèses'!H150=1,ue_PUB_PROD_IMP,ue_PUB_PROD_MS)</f>
        <v/>
      </c>
      <c r="I16" s="24">
        <f>I7*IF('Hypothèses'!I150=1,ue_SITE_PROD_IMP,ue_SITE_PROD_MS)+(I8+I9)*IF('Hypothèses'!I150=1,ue_TTS_PROD_IMP,ue_TTS_PROD_MS)+I10*IF('Hypothèses'!I150=1,ue_PUB_PROD_IMP,ue_PUB_PROD_MS)</f>
        <v/>
      </c>
      <c r="J16" s="24">
        <f>J7*IF('Hypothèses'!J150=1,ue_SITE_PROD_IMP,ue_SITE_PROD_MS)+(J8+J9)*IF('Hypothèses'!J150=1,ue_TTS_PROD_IMP,ue_TTS_PROD_MS)+J10*IF('Hypothèses'!J150=1,ue_PUB_PROD_IMP,ue_PUB_PROD_MS)</f>
        <v/>
      </c>
      <c r="K16" s="24">
        <f>K7*IF('Hypothèses'!K150=1,ue_SITE_PROD_IMP,ue_SITE_PROD_MS)+(K8+K9)*IF('Hypothèses'!K150=1,ue_TTS_PROD_IMP,ue_TTS_PROD_MS)+K10*IF('Hypothèses'!K150=1,ue_PUB_PROD_IMP,ue_PUB_PROD_MS)</f>
        <v/>
      </c>
      <c r="L16" s="24">
        <f>L7*IF('Hypothèses'!L150=1,ue_SITE_PROD_IMP,ue_SITE_PROD_MS)+(L8+L9)*IF('Hypothèses'!L150=1,ue_TTS_PROD_IMP,ue_TTS_PROD_MS)+L10*IF('Hypothèses'!L150=1,ue_PUB_PROD_IMP,ue_PUB_PROD_MS)</f>
        <v/>
      </c>
      <c r="M16" s="24">
        <f>M7*IF('Hypothèses'!M150=1,ue_SITE_PROD_IMP,ue_SITE_PROD_MS)+(M8+M9)*IF('Hypothèses'!M150=1,ue_TTS_PROD_IMP,ue_TTS_PROD_MS)+M10*IF('Hypothèses'!M150=1,ue_PUB_PROD_IMP,ue_PUB_PROD_MS)</f>
        <v/>
      </c>
      <c r="N16" s="24">
        <f>N7*IF('Hypothèses'!N150=1,ue_SITE_PROD_IMP,ue_SITE_PROD_MS)+(N8+N9)*IF('Hypothèses'!N150=1,ue_TTS_PROD_IMP,ue_TTS_PROD_MS)+N10*IF('Hypothèses'!N150=1,ue_PUB_PROD_IMP,ue_PUB_PROD_MS)</f>
        <v/>
      </c>
      <c r="O16" s="24">
        <f>O7*IF('Hypothèses'!O150=1,ue_SITE_PROD_IMP,ue_SITE_PROD_MS)+(O8+O9)*IF('Hypothèses'!O150=1,ue_TTS_PROD_IMP,ue_TTS_PROD_MS)+O10*IF('Hypothèses'!O150=1,ue_PUB_PROD_IMP,ue_PUB_PROD_MS)</f>
        <v/>
      </c>
      <c r="P16" s="24">
        <f>P7*IF('Hypothèses'!P150=1,ue_SITE_PROD_IMP,ue_SITE_PROD_MS)+(P8+P9)*IF('Hypothèses'!P150=1,ue_TTS_PROD_IMP,ue_TTS_PROD_MS)+P10*IF('Hypothèses'!P150=1,ue_PUB_PROD_IMP,ue_PUB_PROD_MS)</f>
        <v/>
      </c>
      <c r="Q16" s="24">
        <f>Q7*IF('Hypothèses'!Q150=1,ue_SITE_PROD_IMP,ue_SITE_PROD_MS)+(Q8+Q9)*IF('Hypothèses'!Q150=1,ue_TTS_PROD_IMP,ue_TTS_PROD_MS)+Q10*IF('Hypothèses'!Q150=1,ue_PUB_PROD_IMP,ue_PUB_PROD_MS)</f>
        <v/>
      </c>
      <c r="R16" s="24">
        <f>R7*IF('Hypothèses'!R150=1,ue_SITE_PROD_IMP,ue_SITE_PROD_MS)+(R8+R9)*IF('Hypothèses'!R150=1,ue_TTS_PROD_IMP,ue_TTS_PROD_MS)+R10*IF('Hypothèses'!R150=1,ue_PUB_PROD_IMP,ue_PUB_PROD_MS)</f>
        <v/>
      </c>
      <c r="S16" s="24">
        <f>S7*IF('Hypothèses'!S150=1,ue_SITE_PROD_IMP,ue_SITE_PROD_MS)+(S8+S9)*IF('Hypothèses'!S150=1,ue_TTS_PROD_IMP,ue_TTS_PROD_MS)+S10*IF('Hypothèses'!S150=1,ue_PUB_PROD_IMP,ue_PUB_PROD_MS)</f>
        <v/>
      </c>
      <c r="T16" s="24">
        <f>T7*IF('Hypothèses'!T150=1,ue_SITE_PROD_IMP,ue_SITE_PROD_MS)+(T8+T9)*IF('Hypothèses'!T150=1,ue_TTS_PROD_IMP,ue_TTS_PROD_MS)+T10*IF('Hypothèses'!T150=1,ue_PUB_PROD_IMP,ue_PUB_PROD_MS)</f>
        <v/>
      </c>
      <c r="U16" s="25">
        <f>SUM(C16:T16)</f>
        <v/>
      </c>
    </row>
    <row r="17">
      <c r="A17" s="20" t="inlineStr">
        <is>
          <t>Livraison, emballage, 3PL</t>
        </is>
      </c>
      <c r="C17" s="24">
        <f>C7*IF('Hypothèses'!C150=1,ue_SITE_LOG_IMP,ue_SITE_LOG_MS)+(C8+C9)*IF('Hypothèses'!C150=1,ue_TTS_LOG_IMP,ue_TTS_LOG_MS)+C10*IF('Hypothèses'!C150=1,ue_PUB_LOG_IMP,ue_PUB_LOG_MS)</f>
        <v/>
      </c>
      <c r="D17" s="24">
        <f>D7*IF('Hypothèses'!D150=1,ue_SITE_LOG_IMP,ue_SITE_LOG_MS)+(D8+D9)*IF('Hypothèses'!D150=1,ue_TTS_LOG_IMP,ue_TTS_LOG_MS)+D10*IF('Hypothèses'!D150=1,ue_PUB_LOG_IMP,ue_PUB_LOG_MS)</f>
        <v/>
      </c>
      <c r="E17" s="24">
        <f>E7*IF('Hypothèses'!E150=1,ue_SITE_LOG_IMP,ue_SITE_LOG_MS)+(E8+E9)*IF('Hypothèses'!E150=1,ue_TTS_LOG_IMP,ue_TTS_LOG_MS)+E10*IF('Hypothèses'!E150=1,ue_PUB_LOG_IMP,ue_PUB_LOG_MS)</f>
        <v/>
      </c>
      <c r="F17" s="24">
        <f>F7*IF('Hypothèses'!F150=1,ue_SITE_LOG_IMP,ue_SITE_LOG_MS)+(F8+F9)*IF('Hypothèses'!F150=1,ue_TTS_LOG_IMP,ue_TTS_LOG_MS)+F10*IF('Hypothèses'!F150=1,ue_PUB_LOG_IMP,ue_PUB_LOG_MS)</f>
        <v/>
      </c>
      <c r="G17" s="24">
        <f>G7*IF('Hypothèses'!G150=1,ue_SITE_LOG_IMP,ue_SITE_LOG_MS)+(G8+G9)*IF('Hypothèses'!G150=1,ue_TTS_LOG_IMP,ue_TTS_LOG_MS)+G10*IF('Hypothèses'!G150=1,ue_PUB_LOG_IMP,ue_PUB_LOG_MS)</f>
        <v/>
      </c>
      <c r="H17" s="24">
        <f>H7*IF('Hypothèses'!H150=1,ue_SITE_LOG_IMP,ue_SITE_LOG_MS)+(H8+H9)*IF('Hypothèses'!H150=1,ue_TTS_LOG_IMP,ue_TTS_LOG_MS)+H10*IF('Hypothèses'!H150=1,ue_PUB_LOG_IMP,ue_PUB_LOG_MS)</f>
        <v/>
      </c>
      <c r="I17" s="24">
        <f>I7*IF('Hypothèses'!I150=1,ue_SITE_LOG_IMP,ue_SITE_LOG_MS)+(I8+I9)*IF('Hypothèses'!I150=1,ue_TTS_LOG_IMP,ue_TTS_LOG_MS)+I10*IF('Hypothèses'!I150=1,ue_PUB_LOG_IMP,ue_PUB_LOG_MS)</f>
        <v/>
      </c>
      <c r="J17" s="24">
        <f>J7*IF('Hypothèses'!J150=1,ue_SITE_LOG_IMP,ue_SITE_LOG_MS)+(J8+J9)*IF('Hypothèses'!J150=1,ue_TTS_LOG_IMP,ue_TTS_LOG_MS)+J10*IF('Hypothèses'!J150=1,ue_PUB_LOG_IMP,ue_PUB_LOG_MS)</f>
        <v/>
      </c>
      <c r="K17" s="24">
        <f>K7*IF('Hypothèses'!K150=1,ue_SITE_LOG_IMP,ue_SITE_LOG_MS)+(K8+K9)*IF('Hypothèses'!K150=1,ue_TTS_LOG_IMP,ue_TTS_LOG_MS)+K10*IF('Hypothèses'!K150=1,ue_PUB_LOG_IMP,ue_PUB_LOG_MS)</f>
        <v/>
      </c>
      <c r="L17" s="24">
        <f>L7*IF('Hypothèses'!L150=1,ue_SITE_LOG_IMP,ue_SITE_LOG_MS)+(L8+L9)*IF('Hypothèses'!L150=1,ue_TTS_LOG_IMP,ue_TTS_LOG_MS)+L10*IF('Hypothèses'!L150=1,ue_PUB_LOG_IMP,ue_PUB_LOG_MS)</f>
        <v/>
      </c>
      <c r="M17" s="24">
        <f>M7*IF('Hypothèses'!M150=1,ue_SITE_LOG_IMP,ue_SITE_LOG_MS)+(M8+M9)*IF('Hypothèses'!M150=1,ue_TTS_LOG_IMP,ue_TTS_LOG_MS)+M10*IF('Hypothèses'!M150=1,ue_PUB_LOG_IMP,ue_PUB_LOG_MS)</f>
        <v/>
      </c>
      <c r="N17" s="24">
        <f>N7*IF('Hypothèses'!N150=1,ue_SITE_LOG_IMP,ue_SITE_LOG_MS)+(N8+N9)*IF('Hypothèses'!N150=1,ue_TTS_LOG_IMP,ue_TTS_LOG_MS)+N10*IF('Hypothèses'!N150=1,ue_PUB_LOG_IMP,ue_PUB_LOG_MS)</f>
        <v/>
      </c>
      <c r="O17" s="24">
        <f>O7*IF('Hypothèses'!O150=1,ue_SITE_LOG_IMP,ue_SITE_LOG_MS)+(O8+O9)*IF('Hypothèses'!O150=1,ue_TTS_LOG_IMP,ue_TTS_LOG_MS)+O10*IF('Hypothèses'!O150=1,ue_PUB_LOG_IMP,ue_PUB_LOG_MS)</f>
        <v/>
      </c>
      <c r="P17" s="24">
        <f>P7*IF('Hypothèses'!P150=1,ue_SITE_LOG_IMP,ue_SITE_LOG_MS)+(P8+P9)*IF('Hypothèses'!P150=1,ue_TTS_LOG_IMP,ue_TTS_LOG_MS)+P10*IF('Hypothèses'!P150=1,ue_PUB_LOG_IMP,ue_PUB_LOG_MS)</f>
        <v/>
      </c>
      <c r="Q17" s="24">
        <f>Q7*IF('Hypothèses'!Q150=1,ue_SITE_LOG_IMP,ue_SITE_LOG_MS)+(Q8+Q9)*IF('Hypothèses'!Q150=1,ue_TTS_LOG_IMP,ue_TTS_LOG_MS)+Q10*IF('Hypothèses'!Q150=1,ue_PUB_LOG_IMP,ue_PUB_LOG_MS)</f>
        <v/>
      </c>
      <c r="R17" s="24">
        <f>R7*IF('Hypothèses'!R150=1,ue_SITE_LOG_IMP,ue_SITE_LOG_MS)+(R8+R9)*IF('Hypothèses'!R150=1,ue_TTS_LOG_IMP,ue_TTS_LOG_MS)+R10*IF('Hypothèses'!R150=1,ue_PUB_LOG_IMP,ue_PUB_LOG_MS)</f>
        <v/>
      </c>
      <c r="S17" s="24">
        <f>S7*IF('Hypothèses'!S150=1,ue_SITE_LOG_IMP,ue_SITE_LOG_MS)+(S8+S9)*IF('Hypothèses'!S150=1,ue_TTS_LOG_IMP,ue_TTS_LOG_MS)+S10*IF('Hypothèses'!S150=1,ue_PUB_LOG_IMP,ue_PUB_LOG_MS)</f>
        <v/>
      </c>
      <c r="T17" s="24">
        <f>T7*IF('Hypothèses'!T150=1,ue_SITE_LOG_IMP,ue_SITE_LOG_MS)+(T8+T9)*IF('Hypothèses'!T150=1,ue_TTS_LOG_IMP,ue_TTS_LOG_MS)+T10*IF('Hypothèses'!T150=1,ue_PUB_LOG_IMP,ue_PUB_LOG_MS)</f>
        <v/>
      </c>
      <c r="U17" s="25">
        <f>SUM(C17:T17)</f>
        <v/>
      </c>
    </row>
    <row r="18">
      <c r="A18" s="20" t="inlineStr">
        <is>
          <t>Frais de paiement</t>
        </is>
      </c>
      <c r="C18" s="24">
        <f>C7*ue_SITE_PAY+C10*ue_PUB_PAY</f>
        <v/>
      </c>
      <c r="D18" s="24">
        <f>D7*ue_SITE_PAY+D10*ue_PUB_PAY</f>
        <v/>
      </c>
      <c r="E18" s="24">
        <f>E7*ue_SITE_PAY+E10*ue_PUB_PAY</f>
        <v/>
      </c>
      <c r="F18" s="24">
        <f>F7*ue_SITE_PAY+F10*ue_PUB_PAY</f>
        <v/>
      </c>
      <c r="G18" s="24">
        <f>G7*ue_SITE_PAY+G10*ue_PUB_PAY</f>
        <v/>
      </c>
      <c r="H18" s="24">
        <f>H7*ue_SITE_PAY+H10*ue_PUB_PAY</f>
        <v/>
      </c>
      <c r="I18" s="24">
        <f>I7*ue_SITE_PAY+I10*ue_PUB_PAY</f>
        <v/>
      </c>
      <c r="J18" s="24">
        <f>J7*ue_SITE_PAY+J10*ue_PUB_PAY</f>
        <v/>
      </c>
      <c r="K18" s="24">
        <f>K7*ue_SITE_PAY+K10*ue_PUB_PAY</f>
        <v/>
      </c>
      <c r="L18" s="24">
        <f>L7*ue_SITE_PAY+L10*ue_PUB_PAY</f>
        <v/>
      </c>
      <c r="M18" s="24">
        <f>M7*ue_SITE_PAY+M10*ue_PUB_PAY</f>
        <v/>
      </c>
      <c r="N18" s="24">
        <f>N7*ue_SITE_PAY+N10*ue_PUB_PAY</f>
        <v/>
      </c>
      <c r="O18" s="24">
        <f>O7*ue_SITE_PAY+O10*ue_PUB_PAY</f>
        <v/>
      </c>
      <c r="P18" s="24">
        <f>P7*ue_SITE_PAY+P10*ue_PUB_PAY</f>
        <v/>
      </c>
      <c r="Q18" s="24">
        <f>Q7*ue_SITE_PAY+Q10*ue_PUB_PAY</f>
        <v/>
      </c>
      <c r="R18" s="24">
        <f>R7*ue_SITE_PAY+R10*ue_PUB_PAY</f>
        <v/>
      </c>
      <c r="S18" s="24">
        <f>S7*ue_SITE_PAY+S10*ue_PUB_PAY</f>
        <v/>
      </c>
      <c r="T18" s="24">
        <f>T7*ue_SITE_PAY+T10*ue_PUB_PAY</f>
        <v/>
      </c>
      <c r="U18" s="25">
        <f>SUM(C18:T18)</f>
        <v/>
      </c>
    </row>
    <row r="19">
      <c r="A19" s="20" t="inlineStr">
        <is>
          <t>Commission TikTok Shop</t>
        </is>
      </c>
      <c r="C19" s="24">
        <f>(C8+C9)*ue_TTS_TTC*'Hypothèses'!C149</f>
        <v/>
      </c>
      <c r="D19" s="24">
        <f>(D8+D9)*ue_TTS_TTC*'Hypothèses'!D149</f>
        <v/>
      </c>
      <c r="E19" s="24">
        <f>(E8+E9)*ue_TTS_TTC*'Hypothèses'!E149</f>
        <v/>
      </c>
      <c r="F19" s="24">
        <f>(F8+F9)*ue_TTS_TTC*'Hypothèses'!F149</f>
        <v/>
      </c>
      <c r="G19" s="24">
        <f>(G8+G9)*ue_TTS_TTC*'Hypothèses'!G149</f>
        <v/>
      </c>
      <c r="H19" s="24">
        <f>(H8+H9)*ue_TTS_TTC*'Hypothèses'!H149</f>
        <v/>
      </c>
      <c r="I19" s="24">
        <f>(I8+I9)*ue_TTS_TTC*'Hypothèses'!I149</f>
        <v/>
      </c>
      <c r="J19" s="24">
        <f>(J8+J9)*ue_TTS_TTC*'Hypothèses'!J149</f>
        <v/>
      </c>
      <c r="K19" s="24">
        <f>(K8+K9)*ue_TTS_TTC*'Hypothèses'!K149</f>
        <v/>
      </c>
      <c r="L19" s="24">
        <f>(L8+L9)*ue_TTS_TTC*'Hypothèses'!L149</f>
        <v/>
      </c>
      <c r="M19" s="24">
        <f>(M8+M9)*ue_TTS_TTC*'Hypothèses'!M149</f>
        <v/>
      </c>
      <c r="N19" s="24">
        <f>(N8+N9)*ue_TTS_TTC*'Hypothèses'!N149</f>
        <v/>
      </c>
      <c r="O19" s="24">
        <f>(O8+O9)*ue_TTS_TTC*'Hypothèses'!O149</f>
        <v/>
      </c>
      <c r="P19" s="24">
        <f>(P8+P9)*ue_TTS_TTC*'Hypothèses'!P149</f>
        <v/>
      </c>
      <c r="Q19" s="24">
        <f>(Q8+Q9)*ue_TTS_TTC*'Hypothèses'!Q149</f>
        <v/>
      </c>
      <c r="R19" s="24">
        <f>(R8+R9)*ue_TTS_TTC*'Hypothèses'!R149</f>
        <v/>
      </c>
      <c r="S19" s="24">
        <f>(S8+S9)*ue_TTS_TTC*'Hypothèses'!S149</f>
        <v/>
      </c>
      <c r="T19" s="24">
        <f>(T8+T9)*ue_TTS_TTC*'Hypothèses'!T149</f>
        <v/>
      </c>
      <c r="U19" s="25">
        <f>SUM(C19:T19)</f>
        <v/>
      </c>
    </row>
    <row r="20">
      <c r="A20" s="20" t="inlineStr">
        <is>
          <t>Commission des créateurs</t>
        </is>
      </c>
      <c r="C20" s="24">
        <f>C9*ue_TTS_TTC*h_CREA_COMM</f>
        <v/>
      </c>
      <c r="D20" s="24">
        <f>D9*ue_TTS_TTC*h_CREA_COMM</f>
        <v/>
      </c>
      <c r="E20" s="24">
        <f>E9*ue_TTS_TTC*h_CREA_COMM</f>
        <v/>
      </c>
      <c r="F20" s="24">
        <f>F9*ue_TTS_TTC*h_CREA_COMM</f>
        <v/>
      </c>
      <c r="G20" s="24">
        <f>G9*ue_TTS_TTC*h_CREA_COMM</f>
        <v/>
      </c>
      <c r="H20" s="24">
        <f>H9*ue_TTS_TTC*h_CREA_COMM</f>
        <v/>
      </c>
      <c r="I20" s="24">
        <f>I9*ue_TTS_TTC*h_CREA_COMM</f>
        <v/>
      </c>
      <c r="J20" s="24">
        <f>J9*ue_TTS_TTC*h_CREA_COMM</f>
        <v/>
      </c>
      <c r="K20" s="24">
        <f>K9*ue_TTS_TTC*h_CREA_COMM</f>
        <v/>
      </c>
      <c r="L20" s="24">
        <f>L9*ue_TTS_TTC*h_CREA_COMM</f>
        <v/>
      </c>
      <c r="M20" s="24">
        <f>M9*ue_TTS_TTC*h_CREA_COMM</f>
        <v/>
      </c>
      <c r="N20" s="24">
        <f>N9*ue_TTS_TTC*h_CREA_COMM</f>
        <v/>
      </c>
      <c r="O20" s="24">
        <f>O9*ue_TTS_TTC*h_CREA_COMM</f>
        <v/>
      </c>
      <c r="P20" s="24">
        <f>P9*ue_TTS_TTC*h_CREA_COMM</f>
        <v/>
      </c>
      <c r="Q20" s="24">
        <f>Q9*ue_TTS_TTC*h_CREA_COMM</f>
        <v/>
      </c>
      <c r="R20" s="24">
        <f>R9*ue_TTS_TTC*h_CREA_COMM</f>
        <v/>
      </c>
      <c r="S20" s="24">
        <f>S9*ue_TTS_TTC*h_CREA_COMM</f>
        <v/>
      </c>
      <c r="T20" s="24">
        <f>T9*ue_TTS_TTC*h_CREA_COMM</f>
        <v/>
      </c>
      <c r="U20" s="25">
        <f>SUM(C20:T20)</f>
        <v/>
      </c>
    </row>
    <row r="21">
      <c r="A21" s="20" t="inlineStr">
        <is>
          <t>Provision retours, SAV, litiges</t>
        </is>
      </c>
      <c r="C21" s="24">
        <f>h_PROV_RETOURS*C14</f>
        <v/>
      </c>
      <c r="D21" s="24">
        <f>h_PROV_RETOURS*D14</f>
        <v/>
      </c>
      <c r="E21" s="24">
        <f>h_PROV_RETOURS*E14</f>
        <v/>
      </c>
      <c r="F21" s="24">
        <f>h_PROV_RETOURS*F14</f>
        <v/>
      </c>
      <c r="G21" s="24">
        <f>h_PROV_RETOURS*G14</f>
        <v/>
      </c>
      <c r="H21" s="24">
        <f>h_PROV_RETOURS*H14</f>
        <v/>
      </c>
      <c r="I21" s="24">
        <f>h_PROV_RETOURS*I14</f>
        <v/>
      </c>
      <c r="J21" s="24">
        <f>h_PROV_RETOURS*J14</f>
        <v/>
      </c>
      <c r="K21" s="24">
        <f>h_PROV_RETOURS*K14</f>
        <v/>
      </c>
      <c r="L21" s="24">
        <f>h_PROV_RETOURS*L14</f>
        <v/>
      </c>
      <c r="M21" s="24">
        <f>h_PROV_RETOURS*M14</f>
        <v/>
      </c>
      <c r="N21" s="24">
        <f>h_PROV_RETOURS*N14</f>
        <v/>
      </c>
      <c r="O21" s="24">
        <f>h_PROV_RETOURS*O14</f>
        <v/>
      </c>
      <c r="P21" s="24">
        <f>h_PROV_RETOURS*P14</f>
        <v/>
      </c>
      <c r="Q21" s="24">
        <f>h_PROV_RETOURS*Q14</f>
        <v/>
      </c>
      <c r="R21" s="24">
        <f>h_PROV_RETOURS*R14</f>
        <v/>
      </c>
      <c r="S21" s="24">
        <f>h_PROV_RETOURS*S14</f>
        <v/>
      </c>
      <c r="T21" s="24">
        <f>h_PROV_RETOURS*T14</f>
        <v/>
      </c>
      <c r="U21" s="25">
        <f>SUM(C21:T21)</f>
        <v/>
      </c>
    </row>
    <row r="22">
      <c r="A22" s="22" t="inlineStr">
        <is>
          <t>Marge de contribution</t>
        </is>
      </c>
      <c r="C22" s="25">
        <f>C14-SUM(C16:C21)</f>
        <v/>
      </c>
      <c r="D22" s="25">
        <f>D14-SUM(D16:D21)</f>
        <v/>
      </c>
      <c r="E22" s="25">
        <f>E14-SUM(E16:E21)</f>
        <v/>
      </c>
      <c r="F22" s="25">
        <f>F14-SUM(F16:F21)</f>
        <v/>
      </c>
      <c r="G22" s="25">
        <f>G14-SUM(G16:G21)</f>
        <v/>
      </c>
      <c r="H22" s="25">
        <f>H14-SUM(H16:H21)</f>
        <v/>
      </c>
      <c r="I22" s="25">
        <f>I14-SUM(I16:I21)</f>
        <v/>
      </c>
      <c r="J22" s="25">
        <f>J14-SUM(J16:J21)</f>
        <v/>
      </c>
      <c r="K22" s="25">
        <f>K14-SUM(K16:K21)</f>
        <v/>
      </c>
      <c r="L22" s="25">
        <f>L14-SUM(L16:L21)</f>
        <v/>
      </c>
      <c r="M22" s="25">
        <f>M14-SUM(M16:M21)</f>
        <v/>
      </c>
      <c r="N22" s="25">
        <f>N14-SUM(N16:N21)</f>
        <v/>
      </c>
      <c r="O22" s="25">
        <f>O14-SUM(O16:O21)</f>
        <v/>
      </c>
      <c r="P22" s="25">
        <f>P14-SUM(P16:P21)</f>
        <v/>
      </c>
      <c r="Q22" s="25">
        <f>Q14-SUM(Q16:Q21)</f>
        <v/>
      </c>
      <c r="R22" s="25">
        <f>R14-SUM(R16:R21)</f>
        <v/>
      </c>
      <c r="S22" s="25">
        <f>S14-SUM(S16:S21)</f>
        <v/>
      </c>
      <c r="T22" s="25">
        <f>T14-SUM(T16:T21)</f>
        <v/>
      </c>
      <c r="U22" s="25">
        <f>SUM(C22:T22)</f>
        <v/>
      </c>
    </row>
    <row r="23">
      <c r="A23" s="20" t="inlineStr">
        <is>
          <t>Publicité</t>
        </is>
      </c>
      <c r="C23" s="24">
        <f>'Hypothèses'!C151</f>
        <v/>
      </c>
      <c r="D23" s="24">
        <f>'Hypothèses'!D151</f>
        <v/>
      </c>
      <c r="E23" s="24">
        <f>'Hypothèses'!E151</f>
        <v/>
      </c>
      <c r="F23" s="24">
        <f>'Hypothèses'!F151</f>
        <v/>
      </c>
      <c r="G23" s="24">
        <f>'Hypothèses'!G151</f>
        <v/>
      </c>
      <c r="H23" s="24">
        <f>'Hypothèses'!H151</f>
        <v/>
      </c>
      <c r="I23" s="24">
        <f>'Hypothèses'!I151</f>
        <v/>
      </c>
      <c r="J23" s="24">
        <f>'Hypothèses'!J151</f>
        <v/>
      </c>
      <c r="K23" s="24">
        <f>'Hypothèses'!K151</f>
        <v/>
      </c>
      <c r="L23" s="24">
        <f>'Hypothèses'!L151</f>
        <v/>
      </c>
      <c r="M23" s="24">
        <f>'Hypothèses'!M151</f>
        <v/>
      </c>
      <c r="N23" s="24">
        <f>'Hypothèses'!N151</f>
        <v/>
      </c>
      <c r="O23" s="24">
        <f>'Hypothèses'!O151</f>
        <v/>
      </c>
      <c r="P23" s="24">
        <f>'Hypothèses'!P151</f>
        <v/>
      </c>
      <c r="Q23" s="24">
        <f>'Hypothèses'!Q151</f>
        <v/>
      </c>
      <c r="R23" s="24">
        <f>'Hypothèses'!R151</f>
        <v/>
      </c>
      <c r="S23" s="24">
        <f>'Hypothèses'!S151</f>
        <v/>
      </c>
      <c r="T23" s="24">
        <f>'Hypothèses'!T151</f>
        <v/>
      </c>
      <c r="U23" s="25">
        <f>SUM(C23:T23)</f>
        <v/>
      </c>
    </row>
    <row r="24">
      <c r="A24" s="20" t="inlineStr">
        <is>
          <t>Échantillons créateurs</t>
        </is>
      </c>
      <c r="C24" s="24">
        <f>'Hypothèses'!C153</f>
        <v/>
      </c>
      <c r="D24" s="24">
        <f>'Hypothèses'!D153</f>
        <v/>
      </c>
      <c r="E24" s="24">
        <f>'Hypothèses'!E153</f>
        <v/>
      </c>
      <c r="F24" s="24">
        <f>'Hypothèses'!F153</f>
        <v/>
      </c>
      <c r="G24" s="24">
        <f>'Hypothèses'!G153</f>
        <v/>
      </c>
      <c r="H24" s="24">
        <f>'Hypothèses'!H153</f>
        <v/>
      </c>
      <c r="I24" s="24">
        <f>'Hypothèses'!I153</f>
        <v/>
      </c>
      <c r="J24" s="24">
        <f>'Hypothèses'!J153</f>
        <v/>
      </c>
      <c r="K24" s="24">
        <f>'Hypothèses'!K153</f>
        <v/>
      </c>
      <c r="L24" s="24">
        <f>'Hypothèses'!L153</f>
        <v/>
      </c>
      <c r="M24" s="24">
        <f>'Hypothèses'!M153</f>
        <v/>
      </c>
      <c r="N24" s="24">
        <f>'Hypothèses'!N153</f>
        <v/>
      </c>
      <c r="O24" s="24">
        <f>'Hypothèses'!O153</f>
        <v/>
      </c>
      <c r="P24" s="24">
        <f>'Hypothèses'!P153</f>
        <v/>
      </c>
      <c r="Q24" s="24">
        <f>'Hypothèses'!Q153</f>
        <v/>
      </c>
      <c r="R24" s="24">
        <f>'Hypothèses'!R153</f>
        <v/>
      </c>
      <c r="S24" s="24">
        <f>'Hypothèses'!S153</f>
        <v/>
      </c>
      <c r="T24" s="24">
        <f>'Hypothèses'!T153</f>
        <v/>
      </c>
      <c r="U24" s="25">
        <f>SUM(C24:T24)</f>
        <v/>
      </c>
    </row>
    <row r="25">
      <c r="A25" s="20" t="inlineStr">
        <is>
          <t>Frais fixes et ponctuels</t>
        </is>
      </c>
      <c r="C25" s="24">
        <f>'Hypothèses'!C157+'Hypothèses'!C158+'Hypothèses'!C159+'Hypothèses'!C160+'Hypothèses'!C161</f>
        <v/>
      </c>
      <c r="D25" s="24">
        <f>'Hypothèses'!D157+'Hypothèses'!D158+'Hypothèses'!D159+'Hypothèses'!D160+'Hypothèses'!D161</f>
        <v/>
      </c>
      <c r="E25" s="24">
        <f>'Hypothèses'!E157+'Hypothèses'!E158+'Hypothèses'!E159+'Hypothèses'!E160+'Hypothèses'!E161</f>
        <v/>
      </c>
      <c r="F25" s="24">
        <f>'Hypothèses'!F157+'Hypothèses'!F158+'Hypothèses'!F159+'Hypothèses'!F160+'Hypothèses'!F161</f>
        <v/>
      </c>
      <c r="G25" s="24">
        <f>'Hypothèses'!G157+'Hypothèses'!G158+'Hypothèses'!G159+'Hypothèses'!G160+'Hypothèses'!G161</f>
        <v/>
      </c>
      <c r="H25" s="24">
        <f>'Hypothèses'!H157+'Hypothèses'!H158+'Hypothèses'!H159+'Hypothèses'!H160+'Hypothèses'!H161</f>
        <v/>
      </c>
      <c r="I25" s="24">
        <f>'Hypothèses'!I157+'Hypothèses'!I158+'Hypothèses'!I159+'Hypothèses'!I160+'Hypothèses'!I161</f>
        <v/>
      </c>
      <c r="J25" s="24">
        <f>'Hypothèses'!J157+'Hypothèses'!J158+'Hypothèses'!J159+'Hypothèses'!J160+'Hypothèses'!J161</f>
        <v/>
      </c>
      <c r="K25" s="24">
        <f>'Hypothèses'!K157+'Hypothèses'!K158+'Hypothèses'!K159+'Hypothèses'!K160+'Hypothèses'!K161</f>
        <v/>
      </c>
      <c r="L25" s="24">
        <f>'Hypothèses'!L157+'Hypothèses'!L158+'Hypothèses'!L159+'Hypothèses'!L160+'Hypothèses'!L161</f>
        <v/>
      </c>
      <c r="M25" s="24">
        <f>'Hypothèses'!M157+'Hypothèses'!M158+'Hypothèses'!M159+'Hypothèses'!M160+'Hypothèses'!M161</f>
        <v/>
      </c>
      <c r="N25" s="24">
        <f>'Hypothèses'!N157+'Hypothèses'!N158+'Hypothèses'!N159+'Hypothèses'!N160+'Hypothèses'!N161</f>
        <v/>
      </c>
      <c r="O25" s="24">
        <f>'Hypothèses'!O157+'Hypothèses'!O158+'Hypothèses'!O159+'Hypothèses'!O160+'Hypothèses'!O161</f>
        <v/>
      </c>
      <c r="P25" s="24">
        <f>'Hypothèses'!P157+'Hypothèses'!P158+'Hypothèses'!P159+'Hypothèses'!P160+'Hypothèses'!P161</f>
        <v/>
      </c>
      <c r="Q25" s="24">
        <f>'Hypothèses'!Q157+'Hypothèses'!Q158+'Hypothèses'!Q159+'Hypothèses'!Q160+'Hypothèses'!Q161</f>
        <v/>
      </c>
      <c r="R25" s="24">
        <f>'Hypothèses'!R157+'Hypothèses'!R158+'Hypothèses'!R159+'Hypothèses'!R160+'Hypothèses'!R161</f>
        <v/>
      </c>
      <c r="S25" s="24">
        <f>'Hypothèses'!S157+'Hypothèses'!S158+'Hypothèses'!S159+'Hypothèses'!S160+'Hypothèses'!S161</f>
        <v/>
      </c>
      <c r="T25" s="24">
        <f>'Hypothèses'!T157+'Hypothèses'!T158+'Hypothèses'!T159+'Hypothèses'!T160+'Hypothèses'!T161</f>
        <v/>
      </c>
      <c r="U25" s="25">
        <f>SUM(C25:T25)</f>
        <v/>
      </c>
    </row>
    <row r="26">
      <c r="A26" s="22" t="inlineStr">
        <is>
          <t>Bénéfice net (avant IS et rémunération du dirigeant)</t>
        </is>
      </c>
      <c r="C26" s="26">
        <f>C22-C23-C24-C25</f>
        <v/>
      </c>
      <c r="D26" s="26">
        <f>D22-D23-D24-D25</f>
        <v/>
      </c>
      <c r="E26" s="26">
        <f>E22-E23-E24-E25</f>
        <v/>
      </c>
      <c r="F26" s="26">
        <f>F22-F23-F24-F25</f>
        <v/>
      </c>
      <c r="G26" s="26">
        <f>G22-G23-G24-G25</f>
        <v/>
      </c>
      <c r="H26" s="26">
        <f>H22-H23-H24-H25</f>
        <v/>
      </c>
      <c r="I26" s="26">
        <f>I22-I23-I24-I25</f>
        <v/>
      </c>
      <c r="J26" s="26">
        <f>J22-J23-J24-J25</f>
        <v/>
      </c>
      <c r="K26" s="26">
        <f>K22-K23-K24-K25</f>
        <v/>
      </c>
      <c r="L26" s="26">
        <f>L22-L23-L24-L25</f>
        <v/>
      </c>
      <c r="M26" s="26">
        <f>M22-M23-M24-M25</f>
        <v/>
      </c>
      <c r="N26" s="26">
        <f>N22-N23-N24-N25</f>
        <v/>
      </c>
      <c r="O26" s="26">
        <f>O22-O23-O24-O25</f>
        <v/>
      </c>
      <c r="P26" s="26">
        <f>P22-P23-P24-P25</f>
        <v/>
      </c>
      <c r="Q26" s="26">
        <f>Q22-Q23-Q24-Q25</f>
        <v/>
      </c>
      <c r="R26" s="26">
        <f>R22-R23-R24-R25</f>
        <v/>
      </c>
      <c r="S26" s="26">
        <f>S22-S23-S24-S25</f>
        <v/>
      </c>
      <c r="T26" s="26">
        <f>T22-T23-T24-T25</f>
        <v/>
      </c>
      <c r="U26" s="25">
        <f>SUM(C26:T26)</f>
        <v/>
      </c>
    </row>
    <row r="27">
      <c r="A27" s="20" t="inlineStr">
        <is>
          <t>Bénéfice net cumulé</t>
        </is>
      </c>
      <c r="C27" s="24">
        <f>C26</f>
        <v/>
      </c>
      <c r="D27" s="24">
        <f>D26+C27</f>
        <v/>
      </c>
      <c r="E27" s="24">
        <f>E26+D27</f>
        <v/>
      </c>
      <c r="F27" s="24">
        <f>F26+E27</f>
        <v/>
      </c>
      <c r="G27" s="24">
        <f>G26+F27</f>
        <v/>
      </c>
      <c r="H27" s="24">
        <f>H26+G27</f>
        <v/>
      </c>
      <c r="I27" s="24">
        <f>I26+H27</f>
        <v/>
      </c>
      <c r="J27" s="24">
        <f>J26+I27</f>
        <v/>
      </c>
      <c r="K27" s="24">
        <f>K26+J27</f>
        <v/>
      </c>
      <c r="L27" s="24">
        <f>L26+K27</f>
        <v/>
      </c>
      <c r="M27" s="24">
        <f>M26+L27</f>
        <v/>
      </c>
      <c r="N27" s="24">
        <f>N26+M27</f>
        <v/>
      </c>
      <c r="O27" s="24">
        <f>O26+N27</f>
        <v/>
      </c>
      <c r="P27" s="24">
        <f>P26+O27</f>
        <v/>
      </c>
      <c r="Q27" s="24">
        <f>Q26+P27</f>
        <v/>
      </c>
      <c r="R27" s="24">
        <f>R26+Q27</f>
        <v/>
      </c>
      <c r="S27" s="24">
        <f>S26+R27</f>
        <v/>
      </c>
      <c r="T27" s="24">
        <f>T26+S27</f>
        <v/>
      </c>
    </row>
    <row r="28">
      <c r="A28" s="20" t="inlineStr">
        <is>
          <t>Coûts totaux (CA HT − bénéfice net)</t>
        </is>
      </c>
      <c r="C28" s="24">
        <f>C14-C26</f>
        <v/>
      </c>
      <c r="D28" s="24">
        <f>D14-D26</f>
        <v/>
      </c>
      <c r="E28" s="24">
        <f>E14-E26</f>
        <v/>
      </c>
      <c r="F28" s="24">
        <f>F14-F26</f>
        <v/>
      </c>
      <c r="G28" s="24">
        <f>G14-G26</f>
        <v/>
      </c>
      <c r="H28" s="24">
        <f>H14-H26</f>
        <v/>
      </c>
      <c r="I28" s="24">
        <f>I14-I26</f>
        <v/>
      </c>
      <c r="J28" s="24">
        <f>J14-J26</f>
        <v/>
      </c>
      <c r="K28" s="24">
        <f>K14-K26</f>
        <v/>
      </c>
      <c r="L28" s="24">
        <f>L14-L26</f>
        <v/>
      </c>
      <c r="M28" s="24">
        <f>M14-M26</f>
        <v/>
      </c>
      <c r="N28" s="24">
        <f>N14-N26</f>
        <v/>
      </c>
      <c r="O28" s="24">
        <f>O14-O26</f>
        <v/>
      </c>
      <c r="P28" s="24">
        <f>P14-P26</f>
        <v/>
      </c>
      <c r="Q28" s="24">
        <f>Q14-Q26</f>
        <v/>
      </c>
      <c r="R28" s="24">
        <f>R14-R26</f>
        <v/>
      </c>
      <c r="S28" s="24">
        <f>S14-S26</f>
        <v/>
      </c>
      <c r="T28" s="24">
        <f>T14-T26</f>
        <v/>
      </c>
      <c r="U28" s="25">
        <f>SUM(C28:T28)</f>
        <v/>
      </c>
    </row>
    <row r="29">
      <c r="A29" s="20" t="inlineStr">
        <is>
          <t>Nouvel exercice (1 = oui)</t>
        </is>
      </c>
      <c r="C29" s="27">
        <f>1</f>
        <v/>
      </c>
      <c r="D29" s="27">
        <f>IF(D6&lt;&gt;C6,1,0)</f>
        <v/>
      </c>
      <c r="E29" s="27">
        <f>IF(E6&lt;&gt;D6,1,0)</f>
        <v/>
      </c>
      <c r="F29" s="27">
        <f>IF(F6&lt;&gt;E6,1,0)</f>
        <v/>
      </c>
      <c r="G29" s="27">
        <f>IF(G6&lt;&gt;F6,1,0)</f>
        <v/>
      </c>
      <c r="H29" s="27">
        <f>IF(H6&lt;&gt;G6,1,0)</f>
        <v/>
      </c>
      <c r="I29" s="27">
        <f>IF(I6&lt;&gt;H6,1,0)</f>
        <v/>
      </c>
      <c r="J29" s="27">
        <f>IF(J6&lt;&gt;I6,1,0)</f>
        <v/>
      </c>
      <c r="K29" s="27">
        <f>IF(K6&lt;&gt;J6,1,0)</f>
        <v/>
      </c>
      <c r="L29" s="27">
        <f>IF(L6&lt;&gt;K6,1,0)</f>
        <v/>
      </c>
      <c r="M29" s="27">
        <f>IF(M6&lt;&gt;L6,1,0)</f>
        <v/>
      </c>
      <c r="N29" s="27">
        <f>IF(N6&lt;&gt;M6,1,0)</f>
        <v/>
      </c>
      <c r="O29" s="27">
        <f>IF(O6&lt;&gt;N6,1,0)</f>
        <v/>
      </c>
      <c r="P29" s="27">
        <f>IF(P6&lt;&gt;O6,1,0)</f>
        <v/>
      </c>
      <c r="Q29" s="27">
        <f>IF(Q6&lt;&gt;P6,1,0)</f>
        <v/>
      </c>
      <c r="R29" s="27">
        <f>IF(R6&lt;&gt;Q6,1,0)</f>
        <v/>
      </c>
      <c r="S29" s="27">
        <f>IF(S6&lt;&gt;R6,1,0)</f>
        <v/>
      </c>
      <c r="T29" s="27">
        <f>IF(T6&lt;&gt;S6,1,0)</f>
        <v/>
      </c>
    </row>
    <row r="30">
      <c r="A30" s="20" t="inlineStr">
        <is>
          <t>Base IS cumulée de l'exercice (déficit antérieur reporté)</t>
        </is>
      </c>
      <c r="C30" s="24">
        <f>C26</f>
        <v/>
      </c>
      <c r="D30" s="24">
        <f>IF(D29=1,MIN(0,C30)+D26,C30+D26)</f>
        <v/>
      </c>
      <c r="E30" s="24">
        <f>IF(E29=1,MIN(0,D30)+E26,D30+E26)</f>
        <v/>
      </c>
      <c r="F30" s="24">
        <f>IF(F29=1,MIN(0,E30)+F26,E30+F26)</f>
        <v/>
      </c>
      <c r="G30" s="24">
        <f>IF(G29=1,MIN(0,F30)+G26,F30+G26)</f>
        <v/>
      </c>
      <c r="H30" s="24">
        <f>IF(H29=1,MIN(0,G30)+H26,G30+H26)</f>
        <v/>
      </c>
      <c r="I30" s="24">
        <f>IF(I29=1,MIN(0,H30)+I26,H30+I26)</f>
        <v/>
      </c>
      <c r="J30" s="24">
        <f>IF(J29=1,MIN(0,I30)+J26,I30+J26)</f>
        <v/>
      </c>
      <c r="K30" s="24">
        <f>IF(K29=1,MIN(0,J30)+K26,J30+K26)</f>
        <v/>
      </c>
      <c r="L30" s="24">
        <f>IF(L29=1,MIN(0,K30)+L26,K30+L26)</f>
        <v/>
      </c>
      <c r="M30" s="24">
        <f>IF(M29=1,MIN(0,L30)+M26,L30+M26)</f>
        <v/>
      </c>
      <c r="N30" s="24">
        <f>IF(N29=1,MIN(0,M30)+N26,M30+N26)</f>
        <v/>
      </c>
      <c r="O30" s="24">
        <f>IF(O29=1,MIN(0,N30)+O26,N30+O26)</f>
        <v/>
      </c>
      <c r="P30" s="24">
        <f>IF(P29=1,MIN(0,O30)+P26,O30+P26)</f>
        <v/>
      </c>
      <c r="Q30" s="24">
        <f>IF(Q29=1,MIN(0,P30)+Q26,P30+Q26)</f>
        <v/>
      </c>
      <c r="R30" s="24">
        <f>IF(R29=1,MIN(0,Q30)+R26,Q30+R26)</f>
        <v/>
      </c>
      <c r="S30" s="24">
        <f>IF(S29=1,MIN(0,R30)+S26,R30+S26)</f>
        <v/>
      </c>
      <c r="T30" s="24">
        <f>IF(T29=1,MIN(0,S30)+T26,S30+T26)</f>
        <v/>
      </c>
    </row>
    <row r="31">
      <c r="A31" s="20" t="inlineStr">
        <is>
          <t>IS cumulé de l'exercice</t>
        </is>
      </c>
      <c r="C31" s="24">
        <f>h_IS_TAUX_REDUIT*MIN(MAX(C30,0),h_IS_SEUIL)+h_IS_TAUX_NORMAL*MAX(C30-h_IS_SEUIL,0)</f>
        <v/>
      </c>
      <c r="D31" s="24">
        <f>h_IS_TAUX_REDUIT*MIN(MAX(D30,0),h_IS_SEUIL)+h_IS_TAUX_NORMAL*MAX(D30-h_IS_SEUIL,0)</f>
        <v/>
      </c>
      <c r="E31" s="24">
        <f>h_IS_TAUX_REDUIT*MIN(MAX(E30,0),h_IS_SEUIL)+h_IS_TAUX_NORMAL*MAX(E30-h_IS_SEUIL,0)</f>
        <v/>
      </c>
      <c r="F31" s="24">
        <f>h_IS_TAUX_REDUIT*MIN(MAX(F30,0),h_IS_SEUIL)+h_IS_TAUX_NORMAL*MAX(F30-h_IS_SEUIL,0)</f>
        <v/>
      </c>
      <c r="G31" s="24">
        <f>h_IS_TAUX_REDUIT*MIN(MAX(G30,0),h_IS_SEUIL)+h_IS_TAUX_NORMAL*MAX(G30-h_IS_SEUIL,0)</f>
        <v/>
      </c>
      <c r="H31" s="24">
        <f>h_IS_TAUX_REDUIT*MIN(MAX(H30,0),h_IS_SEUIL)+h_IS_TAUX_NORMAL*MAX(H30-h_IS_SEUIL,0)</f>
        <v/>
      </c>
      <c r="I31" s="24">
        <f>h_IS_TAUX_REDUIT*MIN(MAX(I30,0),h_IS_SEUIL)+h_IS_TAUX_NORMAL*MAX(I30-h_IS_SEUIL,0)</f>
        <v/>
      </c>
      <c r="J31" s="24">
        <f>h_IS_TAUX_REDUIT*MIN(MAX(J30,0),h_IS_SEUIL)+h_IS_TAUX_NORMAL*MAX(J30-h_IS_SEUIL,0)</f>
        <v/>
      </c>
      <c r="K31" s="24">
        <f>h_IS_TAUX_REDUIT*MIN(MAX(K30,0),h_IS_SEUIL)+h_IS_TAUX_NORMAL*MAX(K30-h_IS_SEUIL,0)</f>
        <v/>
      </c>
      <c r="L31" s="24">
        <f>h_IS_TAUX_REDUIT*MIN(MAX(L30,0),h_IS_SEUIL)+h_IS_TAUX_NORMAL*MAX(L30-h_IS_SEUIL,0)</f>
        <v/>
      </c>
      <c r="M31" s="24">
        <f>h_IS_TAUX_REDUIT*MIN(MAX(M30,0),h_IS_SEUIL)+h_IS_TAUX_NORMAL*MAX(M30-h_IS_SEUIL,0)</f>
        <v/>
      </c>
      <c r="N31" s="24">
        <f>h_IS_TAUX_REDUIT*MIN(MAX(N30,0),h_IS_SEUIL)+h_IS_TAUX_NORMAL*MAX(N30-h_IS_SEUIL,0)</f>
        <v/>
      </c>
      <c r="O31" s="24">
        <f>h_IS_TAUX_REDUIT*MIN(MAX(O30,0),h_IS_SEUIL)+h_IS_TAUX_NORMAL*MAX(O30-h_IS_SEUIL,0)</f>
        <v/>
      </c>
      <c r="P31" s="24">
        <f>h_IS_TAUX_REDUIT*MIN(MAX(P30,0),h_IS_SEUIL)+h_IS_TAUX_NORMAL*MAX(P30-h_IS_SEUIL,0)</f>
        <v/>
      </c>
      <c r="Q31" s="24">
        <f>h_IS_TAUX_REDUIT*MIN(MAX(Q30,0),h_IS_SEUIL)+h_IS_TAUX_NORMAL*MAX(Q30-h_IS_SEUIL,0)</f>
        <v/>
      </c>
      <c r="R31" s="24">
        <f>h_IS_TAUX_REDUIT*MIN(MAX(R30,0),h_IS_SEUIL)+h_IS_TAUX_NORMAL*MAX(R30-h_IS_SEUIL,0)</f>
        <v/>
      </c>
      <c r="S31" s="24">
        <f>h_IS_TAUX_REDUIT*MIN(MAX(S30,0),h_IS_SEUIL)+h_IS_TAUX_NORMAL*MAX(S30-h_IS_SEUIL,0)</f>
        <v/>
      </c>
      <c r="T31" s="24">
        <f>h_IS_TAUX_REDUIT*MIN(MAX(T30,0),h_IS_SEUIL)+h_IS_TAUX_NORMAL*MAX(T30-h_IS_SEUIL,0)</f>
        <v/>
      </c>
    </row>
    <row r="32">
      <c r="A32" s="20" t="inlineStr">
        <is>
          <t>IS du mois (provision)</t>
        </is>
      </c>
      <c r="C32" s="24">
        <f>C31</f>
        <v/>
      </c>
      <c r="D32" s="24">
        <f>IF(D29=1,D31,D31-C31)</f>
        <v/>
      </c>
      <c r="E32" s="24">
        <f>IF(E29=1,E31,E31-D31)</f>
        <v/>
      </c>
      <c r="F32" s="24">
        <f>IF(F29=1,F31,F31-E31)</f>
        <v/>
      </c>
      <c r="G32" s="24">
        <f>IF(G29=1,G31,G31-F31)</f>
        <v/>
      </c>
      <c r="H32" s="24">
        <f>IF(H29=1,H31,H31-G31)</f>
        <v/>
      </c>
      <c r="I32" s="24">
        <f>IF(I29=1,I31,I31-H31)</f>
        <v/>
      </c>
      <c r="J32" s="24">
        <f>IF(J29=1,J31,J31-I31)</f>
        <v/>
      </c>
      <c r="K32" s="24">
        <f>IF(K29=1,K31,K31-J31)</f>
        <v/>
      </c>
      <c r="L32" s="24">
        <f>IF(L29=1,L31,L31-K31)</f>
        <v/>
      </c>
      <c r="M32" s="24">
        <f>IF(M29=1,M31,M31-L31)</f>
        <v/>
      </c>
      <c r="N32" s="24">
        <f>IF(N29=1,N31,N31-M31)</f>
        <v/>
      </c>
      <c r="O32" s="24">
        <f>IF(O29=1,O31,O31-N31)</f>
        <v/>
      </c>
      <c r="P32" s="24">
        <f>IF(P29=1,P31,P31-O31)</f>
        <v/>
      </c>
      <c r="Q32" s="24">
        <f>IF(Q29=1,Q31,Q31-P31)</f>
        <v/>
      </c>
      <c r="R32" s="24">
        <f>IF(R29=1,R31,R31-Q31)</f>
        <v/>
      </c>
      <c r="S32" s="24">
        <f>IF(S29=1,S31,S31-R31)</f>
        <v/>
      </c>
      <c r="T32" s="24">
        <f>IF(T29=1,T31,T31-S31)</f>
        <v/>
      </c>
      <c r="U32" s="25">
        <f>SUM(C32:T32)</f>
        <v/>
      </c>
    </row>
    <row r="33">
      <c r="A33" s="22" t="inlineStr">
        <is>
          <t>Résultat après IS</t>
        </is>
      </c>
      <c r="C33" s="25">
        <f>C26-C32</f>
        <v/>
      </c>
      <c r="D33" s="25">
        <f>D26-D32</f>
        <v/>
      </c>
      <c r="E33" s="25">
        <f>E26-E32</f>
        <v/>
      </c>
      <c r="F33" s="25">
        <f>F26-F32</f>
        <v/>
      </c>
      <c r="G33" s="25">
        <f>G26-G32</f>
        <v/>
      </c>
      <c r="H33" s="25">
        <f>H26-H32</f>
        <v/>
      </c>
      <c r="I33" s="25">
        <f>I26-I32</f>
        <v/>
      </c>
      <c r="J33" s="25">
        <f>J26-J32</f>
        <v/>
      </c>
      <c r="K33" s="25">
        <f>K26-K32</f>
        <v/>
      </c>
      <c r="L33" s="25">
        <f>L26-L32</f>
        <v/>
      </c>
      <c r="M33" s="25">
        <f>M26-M32</f>
        <v/>
      </c>
      <c r="N33" s="25">
        <f>N26-N32</f>
        <v/>
      </c>
      <c r="O33" s="25">
        <f>O26-O32</f>
        <v/>
      </c>
      <c r="P33" s="25">
        <f>P26-P32</f>
        <v/>
      </c>
      <c r="Q33" s="25">
        <f>Q26-Q32</f>
        <v/>
      </c>
      <c r="R33" s="25">
        <f>R26-R32</f>
        <v/>
      </c>
      <c r="S33" s="25">
        <f>S26-S32</f>
        <v/>
      </c>
      <c r="T33" s="25">
        <f>T26-T32</f>
        <v/>
      </c>
      <c r="U33" s="25">
        <f>SUM(C33:T33)</f>
        <v/>
      </c>
    </row>
    <row r="36">
      <c r="A36" s="4" t="inlineStr">
        <is>
          <t>Scénario réaliste — Croissance organique régulière ; palier 1 vers l'été 2027 ; import groupé en octobre 2027 ; test publicitaire de 3 mois arrêté faute de rentabilité.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3" t="inlineStr">
        <is>
          <t>Ligne</t>
        </is>
      </c>
      <c r="B37" s="3" t="inlineStr"/>
      <c r="C37" s="3" t="inlineStr">
        <is>
          <t>oct. 2026</t>
        </is>
      </c>
      <c r="D37" s="3" t="inlineStr">
        <is>
          <t>nov. 2026</t>
        </is>
      </c>
      <c r="E37" s="3" t="inlineStr">
        <is>
          <t>déc. 2026</t>
        </is>
      </c>
      <c r="F37" s="3" t="inlineStr">
        <is>
          <t>janv. 2027</t>
        </is>
      </c>
      <c r="G37" s="3" t="inlineStr">
        <is>
          <t>févr. 2027</t>
        </is>
      </c>
      <c r="H37" s="3" t="inlineStr">
        <is>
          <t>mars 2027</t>
        </is>
      </c>
      <c r="I37" s="3" t="inlineStr">
        <is>
          <t>avr. 2027</t>
        </is>
      </c>
      <c r="J37" s="3" t="inlineStr">
        <is>
          <t>mai 2027</t>
        </is>
      </c>
      <c r="K37" s="3" t="inlineStr">
        <is>
          <t>juin 2027</t>
        </is>
      </c>
      <c r="L37" s="3" t="inlineStr">
        <is>
          <t>juil. 2027</t>
        </is>
      </c>
      <c r="M37" s="3" t="inlineStr">
        <is>
          <t>août 2027</t>
        </is>
      </c>
      <c r="N37" s="3" t="inlineStr">
        <is>
          <t>sept. 2027</t>
        </is>
      </c>
      <c r="O37" s="3" t="inlineStr">
        <is>
          <t>oct. 2027</t>
        </is>
      </c>
      <c r="P37" s="3" t="inlineStr">
        <is>
          <t>nov. 2027</t>
        </is>
      </c>
      <c r="Q37" s="3" t="inlineStr">
        <is>
          <t>déc. 2027</t>
        </is>
      </c>
      <c r="R37" s="3" t="inlineStr">
        <is>
          <t>janv. 2028</t>
        </is>
      </c>
      <c r="S37" s="3" t="inlineStr">
        <is>
          <t>févr. 2028</t>
        </is>
      </c>
      <c r="T37" s="3" t="inlineStr">
        <is>
          <t>mars 2028</t>
        </is>
      </c>
      <c r="U37" s="3" t="inlineStr">
        <is>
          <t>Total 18 mois</t>
        </is>
      </c>
    </row>
    <row r="38">
      <c r="A38" s="20" t="inlineStr">
        <is>
          <t>Exercice</t>
        </is>
      </c>
      <c r="C38">
        <f>'Hypothèses'!C165</f>
        <v/>
      </c>
      <c r="D38">
        <f>'Hypothèses'!D165</f>
        <v/>
      </c>
      <c r="E38">
        <f>'Hypothèses'!E165</f>
        <v/>
      </c>
      <c r="F38">
        <f>'Hypothèses'!F165</f>
        <v/>
      </c>
      <c r="G38">
        <f>'Hypothèses'!G165</f>
        <v/>
      </c>
      <c r="H38">
        <f>'Hypothèses'!H165</f>
        <v/>
      </c>
      <c r="I38">
        <f>'Hypothèses'!I165</f>
        <v/>
      </c>
      <c r="J38">
        <f>'Hypothèses'!J165</f>
        <v/>
      </c>
      <c r="K38">
        <f>'Hypothèses'!K165</f>
        <v/>
      </c>
      <c r="L38">
        <f>'Hypothèses'!L165</f>
        <v/>
      </c>
      <c r="M38">
        <f>'Hypothèses'!M165</f>
        <v/>
      </c>
      <c r="N38">
        <f>'Hypothèses'!N165</f>
        <v/>
      </c>
      <c r="O38">
        <f>'Hypothèses'!O165</f>
        <v/>
      </c>
      <c r="P38">
        <f>'Hypothèses'!P165</f>
        <v/>
      </c>
      <c r="Q38">
        <f>'Hypothèses'!Q165</f>
        <v/>
      </c>
      <c r="R38">
        <f>'Hypothèses'!R165</f>
        <v/>
      </c>
      <c r="S38">
        <f>'Hypothèses'!S165</f>
        <v/>
      </c>
      <c r="T38">
        <f>'Hypothèses'!T165</f>
        <v/>
      </c>
    </row>
    <row r="39">
      <c r="A39" s="20" t="inlineStr">
        <is>
          <t>Commandes site (organique)</t>
        </is>
      </c>
      <c r="C39" s="19">
        <f>'Hypothèses'!C166*'Hypothèses'!C167</f>
        <v/>
      </c>
      <c r="D39" s="19">
        <f>'Hypothèses'!D166*'Hypothèses'!D167</f>
        <v/>
      </c>
      <c r="E39" s="19">
        <f>'Hypothèses'!E166*'Hypothèses'!E167</f>
        <v/>
      </c>
      <c r="F39" s="19">
        <f>'Hypothèses'!F166*'Hypothèses'!F167</f>
        <v/>
      </c>
      <c r="G39" s="19">
        <f>'Hypothèses'!G166*'Hypothèses'!G167</f>
        <v/>
      </c>
      <c r="H39" s="19">
        <f>'Hypothèses'!H166*'Hypothèses'!H167</f>
        <v/>
      </c>
      <c r="I39" s="19">
        <f>'Hypothèses'!I166*'Hypothèses'!I167</f>
        <v/>
      </c>
      <c r="J39" s="19">
        <f>'Hypothèses'!J166*'Hypothèses'!J167</f>
        <v/>
      </c>
      <c r="K39" s="19">
        <f>'Hypothèses'!K166*'Hypothèses'!K167</f>
        <v/>
      </c>
      <c r="L39" s="19">
        <f>'Hypothèses'!L166*'Hypothèses'!L167</f>
        <v/>
      </c>
      <c r="M39" s="19">
        <f>'Hypothèses'!M166*'Hypothèses'!M167</f>
        <v/>
      </c>
      <c r="N39" s="19">
        <f>'Hypothèses'!N166*'Hypothèses'!N167</f>
        <v/>
      </c>
      <c r="O39" s="19">
        <f>'Hypothèses'!O166*'Hypothèses'!O167</f>
        <v/>
      </c>
      <c r="P39" s="19">
        <f>'Hypothèses'!P166*'Hypothèses'!P167</f>
        <v/>
      </c>
      <c r="Q39" s="19">
        <f>'Hypothèses'!Q166*'Hypothèses'!Q167</f>
        <v/>
      </c>
      <c r="R39" s="19">
        <f>'Hypothèses'!R166*'Hypothèses'!R167</f>
        <v/>
      </c>
      <c r="S39" s="19">
        <f>'Hypothèses'!S166*'Hypothèses'!S167</f>
        <v/>
      </c>
      <c r="T39" s="19">
        <f>'Hypothèses'!T166*'Hypothèses'!T167</f>
        <v/>
      </c>
      <c r="U39" s="21">
        <f>SUM(C39:T39)</f>
        <v/>
      </c>
    </row>
    <row r="40">
      <c r="A40" s="20" t="inlineStr">
        <is>
          <t>Commandes TikTok Shop, contenu propre</t>
        </is>
      </c>
      <c r="C40" s="19">
        <f>'Hypothèses'!C166*'Hypothèses'!C168</f>
        <v/>
      </c>
      <c r="D40" s="19">
        <f>'Hypothèses'!D166*'Hypothèses'!D168</f>
        <v/>
      </c>
      <c r="E40" s="19">
        <f>'Hypothèses'!E166*'Hypothèses'!E168</f>
        <v/>
      </c>
      <c r="F40" s="19">
        <f>'Hypothèses'!F166*'Hypothèses'!F168</f>
        <v/>
      </c>
      <c r="G40" s="19">
        <f>'Hypothèses'!G166*'Hypothèses'!G168</f>
        <v/>
      </c>
      <c r="H40" s="19">
        <f>'Hypothèses'!H166*'Hypothèses'!H168</f>
        <v/>
      </c>
      <c r="I40" s="19">
        <f>'Hypothèses'!I166*'Hypothèses'!I168</f>
        <v/>
      </c>
      <c r="J40" s="19">
        <f>'Hypothèses'!J166*'Hypothèses'!J168</f>
        <v/>
      </c>
      <c r="K40" s="19">
        <f>'Hypothèses'!K166*'Hypothèses'!K168</f>
        <v/>
      </c>
      <c r="L40" s="19">
        <f>'Hypothèses'!L166*'Hypothèses'!L168</f>
        <v/>
      </c>
      <c r="M40" s="19">
        <f>'Hypothèses'!M166*'Hypothèses'!M168</f>
        <v/>
      </c>
      <c r="N40" s="19">
        <f>'Hypothèses'!N166*'Hypothèses'!N168</f>
        <v/>
      </c>
      <c r="O40" s="19">
        <f>'Hypothèses'!O166*'Hypothèses'!O168</f>
        <v/>
      </c>
      <c r="P40" s="19">
        <f>'Hypothèses'!P166*'Hypothèses'!P168</f>
        <v/>
      </c>
      <c r="Q40" s="19">
        <f>'Hypothèses'!Q166*'Hypothèses'!Q168</f>
        <v/>
      </c>
      <c r="R40" s="19">
        <f>'Hypothèses'!R166*'Hypothèses'!R168</f>
        <v/>
      </c>
      <c r="S40" s="19">
        <f>'Hypothèses'!S166*'Hypothèses'!S168</f>
        <v/>
      </c>
      <c r="T40" s="19">
        <f>'Hypothèses'!T166*'Hypothèses'!T168</f>
        <v/>
      </c>
      <c r="U40" s="21">
        <f>SUM(C40:T40)</f>
        <v/>
      </c>
    </row>
    <row r="41">
      <c r="A41" s="20" t="inlineStr">
        <is>
          <t>Commandes TikTok Shop, affiliés</t>
        </is>
      </c>
      <c r="C41" s="19">
        <f>'Hypothèses'!C166*'Hypothèses'!C169</f>
        <v/>
      </c>
      <c r="D41" s="19">
        <f>'Hypothèses'!D166*'Hypothèses'!D169</f>
        <v/>
      </c>
      <c r="E41" s="19">
        <f>'Hypothèses'!E166*'Hypothèses'!E169</f>
        <v/>
      </c>
      <c r="F41" s="19">
        <f>'Hypothèses'!F166*'Hypothèses'!F169</f>
        <v/>
      </c>
      <c r="G41" s="19">
        <f>'Hypothèses'!G166*'Hypothèses'!G169</f>
        <v/>
      </c>
      <c r="H41" s="19">
        <f>'Hypothèses'!H166*'Hypothèses'!H169</f>
        <v/>
      </c>
      <c r="I41" s="19">
        <f>'Hypothèses'!I166*'Hypothèses'!I169</f>
        <v/>
      </c>
      <c r="J41" s="19">
        <f>'Hypothèses'!J166*'Hypothèses'!J169</f>
        <v/>
      </c>
      <c r="K41" s="19">
        <f>'Hypothèses'!K166*'Hypothèses'!K169</f>
        <v/>
      </c>
      <c r="L41" s="19">
        <f>'Hypothèses'!L166*'Hypothèses'!L169</f>
        <v/>
      </c>
      <c r="M41" s="19">
        <f>'Hypothèses'!M166*'Hypothèses'!M169</f>
        <v/>
      </c>
      <c r="N41" s="19">
        <f>'Hypothèses'!N166*'Hypothèses'!N169</f>
        <v/>
      </c>
      <c r="O41" s="19">
        <f>'Hypothèses'!O166*'Hypothèses'!O169</f>
        <v/>
      </c>
      <c r="P41" s="19">
        <f>'Hypothèses'!P166*'Hypothèses'!P169</f>
        <v/>
      </c>
      <c r="Q41" s="19">
        <f>'Hypothèses'!Q166*'Hypothèses'!Q169</f>
        <v/>
      </c>
      <c r="R41" s="19">
        <f>'Hypothèses'!R166*'Hypothèses'!R169</f>
        <v/>
      </c>
      <c r="S41" s="19">
        <f>'Hypothèses'!S166*'Hypothèses'!S169</f>
        <v/>
      </c>
      <c r="T41" s="19">
        <f>'Hypothèses'!T166*'Hypothèses'!T169</f>
        <v/>
      </c>
      <c r="U41" s="21">
        <f>SUM(C41:T41)</f>
        <v/>
      </c>
    </row>
    <row r="42">
      <c r="A42" s="20" t="inlineStr">
        <is>
          <t>Commandes issues de la publicité</t>
        </is>
      </c>
      <c r="C42" s="19">
        <f>IF('Hypothèses'!C173&gt;0,'Hypothèses'!C172/'Hypothèses'!C173,0)</f>
        <v/>
      </c>
      <c r="D42" s="19">
        <f>IF('Hypothèses'!D173&gt;0,'Hypothèses'!D172/'Hypothèses'!D173,0)</f>
        <v/>
      </c>
      <c r="E42" s="19">
        <f>IF('Hypothèses'!E173&gt;0,'Hypothèses'!E172/'Hypothèses'!E173,0)</f>
        <v/>
      </c>
      <c r="F42" s="19">
        <f>IF('Hypothèses'!F173&gt;0,'Hypothèses'!F172/'Hypothèses'!F173,0)</f>
        <v/>
      </c>
      <c r="G42" s="19">
        <f>IF('Hypothèses'!G173&gt;0,'Hypothèses'!G172/'Hypothèses'!G173,0)</f>
        <v/>
      </c>
      <c r="H42" s="19">
        <f>IF('Hypothèses'!H173&gt;0,'Hypothèses'!H172/'Hypothèses'!H173,0)</f>
        <v/>
      </c>
      <c r="I42" s="19">
        <f>IF('Hypothèses'!I173&gt;0,'Hypothèses'!I172/'Hypothèses'!I173,0)</f>
        <v/>
      </c>
      <c r="J42" s="19">
        <f>IF('Hypothèses'!J173&gt;0,'Hypothèses'!J172/'Hypothèses'!J173,0)</f>
        <v/>
      </c>
      <c r="K42" s="19">
        <f>IF('Hypothèses'!K173&gt;0,'Hypothèses'!K172/'Hypothèses'!K173,0)</f>
        <v/>
      </c>
      <c r="L42" s="19">
        <f>IF('Hypothèses'!L173&gt;0,'Hypothèses'!L172/'Hypothèses'!L173,0)</f>
        <v/>
      </c>
      <c r="M42" s="19">
        <f>IF('Hypothèses'!M173&gt;0,'Hypothèses'!M172/'Hypothèses'!M173,0)</f>
        <v/>
      </c>
      <c r="N42" s="19">
        <f>IF('Hypothèses'!N173&gt;0,'Hypothèses'!N172/'Hypothèses'!N173,0)</f>
        <v/>
      </c>
      <c r="O42" s="19">
        <f>IF('Hypothèses'!O173&gt;0,'Hypothèses'!O172/'Hypothèses'!O173,0)</f>
        <v/>
      </c>
      <c r="P42" s="19">
        <f>IF('Hypothèses'!P173&gt;0,'Hypothèses'!P172/'Hypothèses'!P173,0)</f>
        <v/>
      </c>
      <c r="Q42" s="19">
        <f>IF('Hypothèses'!Q173&gt;0,'Hypothèses'!Q172/'Hypothèses'!Q173,0)</f>
        <v/>
      </c>
      <c r="R42" s="19">
        <f>IF('Hypothèses'!R173&gt;0,'Hypothèses'!R172/'Hypothèses'!R173,0)</f>
        <v/>
      </c>
      <c r="S42" s="19">
        <f>IF('Hypothèses'!S173&gt;0,'Hypothèses'!S172/'Hypothèses'!S173,0)</f>
        <v/>
      </c>
      <c r="T42" s="19">
        <f>IF('Hypothèses'!T173&gt;0,'Hypothèses'!T172/'Hypothèses'!T173,0)</f>
        <v/>
      </c>
      <c r="U42" s="21">
        <f>SUM(C42:T42)</f>
        <v/>
      </c>
    </row>
    <row r="43">
      <c r="A43" s="22" t="inlineStr">
        <is>
          <t>Commandes totales</t>
        </is>
      </c>
      <c r="C43" s="23">
        <f>C39+C40+C41+C42</f>
        <v/>
      </c>
      <c r="D43" s="23">
        <f>D39+D40+D41+D42</f>
        <v/>
      </c>
      <c r="E43" s="23">
        <f>E39+E40+E41+E42</f>
        <v/>
      </c>
      <c r="F43" s="23">
        <f>F39+F40+F41+F42</f>
        <v/>
      </c>
      <c r="G43" s="23">
        <f>G39+G40+G41+G42</f>
        <v/>
      </c>
      <c r="H43" s="23">
        <f>H39+H40+H41+H42</f>
        <v/>
      </c>
      <c r="I43" s="23">
        <f>I39+I40+I41+I42</f>
        <v/>
      </c>
      <c r="J43" s="23">
        <f>J39+J40+J41+J42</f>
        <v/>
      </c>
      <c r="K43" s="23">
        <f>K39+K40+K41+K42</f>
        <v/>
      </c>
      <c r="L43" s="23">
        <f>L39+L40+L41+L42</f>
        <v/>
      </c>
      <c r="M43" s="23">
        <f>M39+M40+M41+M42</f>
        <v/>
      </c>
      <c r="N43" s="23">
        <f>N39+N40+N41+N42</f>
        <v/>
      </c>
      <c r="O43" s="23">
        <f>O39+O40+O41+O42</f>
        <v/>
      </c>
      <c r="P43" s="23">
        <f>P39+P40+P41+P42</f>
        <v/>
      </c>
      <c r="Q43" s="23">
        <f>Q39+Q40+Q41+Q42</f>
        <v/>
      </c>
      <c r="R43" s="23">
        <f>R39+R40+R41+R42</f>
        <v/>
      </c>
      <c r="S43" s="23">
        <f>S39+S40+S41+S42</f>
        <v/>
      </c>
      <c r="T43" s="23">
        <f>T39+T40+T41+T42</f>
        <v/>
      </c>
      <c r="U43" s="23">
        <f>SUM(C43:T43)</f>
        <v/>
      </c>
    </row>
    <row r="44">
      <c r="A44" s="20" t="inlineStr">
        <is>
          <t>Commandes par jour</t>
        </is>
      </c>
      <c r="C44" s="19">
        <f>C43/30</f>
        <v/>
      </c>
      <c r="D44" s="19">
        <f>D43/30</f>
        <v/>
      </c>
      <c r="E44" s="19">
        <f>E43/30</f>
        <v/>
      </c>
      <c r="F44" s="19">
        <f>F43/30</f>
        <v/>
      </c>
      <c r="G44" s="19">
        <f>G43/30</f>
        <v/>
      </c>
      <c r="H44" s="19">
        <f>H43/30</f>
        <v/>
      </c>
      <c r="I44" s="19">
        <f>I43/30</f>
        <v/>
      </c>
      <c r="J44" s="19">
        <f>J43/30</f>
        <v/>
      </c>
      <c r="K44" s="19">
        <f>K43/30</f>
        <v/>
      </c>
      <c r="L44" s="19">
        <f>L43/30</f>
        <v/>
      </c>
      <c r="M44" s="19">
        <f>M43/30</f>
        <v/>
      </c>
      <c r="N44" s="19">
        <f>N43/30</f>
        <v/>
      </c>
      <c r="O44" s="19">
        <f>O43/30</f>
        <v/>
      </c>
      <c r="P44" s="19">
        <f>P43/30</f>
        <v/>
      </c>
      <c r="Q44" s="19">
        <f>Q43/30</f>
        <v/>
      </c>
      <c r="R44" s="19">
        <f>R43/30</f>
        <v/>
      </c>
      <c r="S44" s="19">
        <f>S43/30</f>
        <v/>
      </c>
      <c r="T44" s="19">
        <f>T43/30</f>
        <v/>
      </c>
    </row>
    <row r="45">
      <c r="A45" s="20" t="inlineStr">
        <is>
          <t>CA TTC</t>
        </is>
      </c>
      <c r="C45" s="24">
        <f>C39*ue_SITE_TTC+(C40+C41)*ue_TTS_TTC+C42*ue_PUB_TTC</f>
        <v/>
      </c>
      <c r="D45" s="24">
        <f>D39*ue_SITE_TTC+(D40+D41)*ue_TTS_TTC+D42*ue_PUB_TTC</f>
        <v/>
      </c>
      <c r="E45" s="24">
        <f>E39*ue_SITE_TTC+(E40+E41)*ue_TTS_TTC+E42*ue_PUB_TTC</f>
        <v/>
      </c>
      <c r="F45" s="24">
        <f>F39*ue_SITE_TTC+(F40+F41)*ue_TTS_TTC+F42*ue_PUB_TTC</f>
        <v/>
      </c>
      <c r="G45" s="24">
        <f>G39*ue_SITE_TTC+(G40+G41)*ue_TTS_TTC+G42*ue_PUB_TTC</f>
        <v/>
      </c>
      <c r="H45" s="24">
        <f>H39*ue_SITE_TTC+(H40+H41)*ue_TTS_TTC+H42*ue_PUB_TTC</f>
        <v/>
      </c>
      <c r="I45" s="24">
        <f>I39*ue_SITE_TTC+(I40+I41)*ue_TTS_TTC+I42*ue_PUB_TTC</f>
        <v/>
      </c>
      <c r="J45" s="24">
        <f>J39*ue_SITE_TTC+(J40+J41)*ue_TTS_TTC+J42*ue_PUB_TTC</f>
        <v/>
      </c>
      <c r="K45" s="24">
        <f>K39*ue_SITE_TTC+(K40+K41)*ue_TTS_TTC+K42*ue_PUB_TTC</f>
        <v/>
      </c>
      <c r="L45" s="24">
        <f>L39*ue_SITE_TTC+(L40+L41)*ue_TTS_TTC+L42*ue_PUB_TTC</f>
        <v/>
      </c>
      <c r="M45" s="24">
        <f>M39*ue_SITE_TTC+(M40+M41)*ue_TTS_TTC+M42*ue_PUB_TTC</f>
        <v/>
      </c>
      <c r="N45" s="24">
        <f>N39*ue_SITE_TTC+(N40+N41)*ue_TTS_TTC+N42*ue_PUB_TTC</f>
        <v/>
      </c>
      <c r="O45" s="24">
        <f>O39*ue_SITE_TTC+(O40+O41)*ue_TTS_TTC+O42*ue_PUB_TTC</f>
        <v/>
      </c>
      <c r="P45" s="24">
        <f>P39*ue_SITE_TTC+(P40+P41)*ue_TTS_TTC+P42*ue_PUB_TTC</f>
        <v/>
      </c>
      <c r="Q45" s="24">
        <f>Q39*ue_SITE_TTC+(Q40+Q41)*ue_TTS_TTC+Q42*ue_PUB_TTC</f>
        <v/>
      </c>
      <c r="R45" s="24">
        <f>R39*ue_SITE_TTC+(R40+R41)*ue_TTS_TTC+R42*ue_PUB_TTC</f>
        <v/>
      </c>
      <c r="S45" s="24">
        <f>S39*ue_SITE_TTC+(S40+S41)*ue_TTS_TTC+S42*ue_PUB_TTC</f>
        <v/>
      </c>
      <c r="T45" s="24">
        <f>T39*ue_SITE_TTC+(T40+T41)*ue_TTS_TTC+T42*ue_PUB_TTC</f>
        <v/>
      </c>
      <c r="U45" s="25">
        <f>SUM(C45:T45)</f>
        <v/>
      </c>
    </row>
    <row r="46">
      <c r="A46" s="22" t="inlineStr">
        <is>
          <t>CA HT</t>
        </is>
      </c>
      <c r="C46" s="25">
        <f>C45/(1+h_TVA)</f>
        <v/>
      </c>
      <c r="D46" s="25">
        <f>D45/(1+h_TVA)</f>
        <v/>
      </c>
      <c r="E46" s="25">
        <f>E45/(1+h_TVA)</f>
        <v/>
      </c>
      <c r="F46" s="25">
        <f>F45/(1+h_TVA)</f>
        <v/>
      </c>
      <c r="G46" s="25">
        <f>G45/(1+h_TVA)</f>
        <v/>
      </c>
      <c r="H46" s="25">
        <f>H45/(1+h_TVA)</f>
        <v/>
      </c>
      <c r="I46" s="25">
        <f>I45/(1+h_TVA)</f>
        <v/>
      </c>
      <c r="J46" s="25">
        <f>J45/(1+h_TVA)</f>
        <v/>
      </c>
      <c r="K46" s="25">
        <f>K45/(1+h_TVA)</f>
        <v/>
      </c>
      <c r="L46" s="25">
        <f>L45/(1+h_TVA)</f>
        <v/>
      </c>
      <c r="M46" s="25">
        <f>M45/(1+h_TVA)</f>
        <v/>
      </c>
      <c r="N46" s="25">
        <f>N45/(1+h_TVA)</f>
        <v/>
      </c>
      <c r="O46" s="25">
        <f>O45/(1+h_TVA)</f>
        <v/>
      </c>
      <c r="P46" s="25">
        <f>P45/(1+h_TVA)</f>
        <v/>
      </c>
      <c r="Q46" s="25">
        <f>Q45/(1+h_TVA)</f>
        <v/>
      </c>
      <c r="R46" s="25">
        <f>R45/(1+h_TVA)</f>
        <v/>
      </c>
      <c r="S46" s="25">
        <f>S45/(1+h_TVA)</f>
        <v/>
      </c>
      <c r="T46" s="25">
        <f>T45/(1+h_TVA)</f>
        <v/>
      </c>
      <c r="U46" s="25">
        <f>SUM(C46:T46)</f>
        <v/>
      </c>
    </row>
    <row r="47">
      <c r="A47" s="20" t="inlineStr">
        <is>
          <t>TVA collectée</t>
        </is>
      </c>
      <c r="C47" s="24">
        <f>C45-C46</f>
        <v/>
      </c>
      <c r="D47" s="24">
        <f>D45-D46</f>
        <v/>
      </c>
      <c r="E47" s="24">
        <f>E45-E46</f>
        <v/>
      </c>
      <c r="F47" s="24">
        <f>F45-F46</f>
        <v/>
      </c>
      <c r="G47" s="24">
        <f>G45-G46</f>
        <v/>
      </c>
      <c r="H47" s="24">
        <f>H45-H46</f>
        <v/>
      </c>
      <c r="I47" s="24">
        <f>I45-I46</f>
        <v/>
      </c>
      <c r="J47" s="24">
        <f>J45-J46</f>
        <v/>
      </c>
      <c r="K47" s="24">
        <f>K45-K46</f>
        <v/>
      </c>
      <c r="L47" s="24">
        <f>L45-L46</f>
        <v/>
      </c>
      <c r="M47" s="24">
        <f>M45-M46</f>
        <v/>
      </c>
      <c r="N47" s="24">
        <f>N45-N46</f>
        <v/>
      </c>
      <c r="O47" s="24">
        <f>O45-O46</f>
        <v/>
      </c>
      <c r="P47" s="24">
        <f>P45-P46</f>
        <v/>
      </c>
      <c r="Q47" s="24">
        <f>Q45-Q46</f>
        <v/>
      </c>
      <c r="R47" s="24">
        <f>R45-R46</f>
        <v/>
      </c>
      <c r="S47" s="24">
        <f>S45-S46</f>
        <v/>
      </c>
      <c r="T47" s="24">
        <f>T45-T46</f>
        <v/>
      </c>
      <c r="U47" s="25">
        <f>SUM(C47:T47)</f>
        <v/>
      </c>
    </row>
    <row r="48">
      <c r="A48" s="20" t="inlineStr">
        <is>
          <t>Coût des produits et droits</t>
        </is>
      </c>
      <c r="C48" s="24">
        <f>C39*IF('Hypothèses'!C171=1,ue_SITE_PROD_IMP,ue_SITE_PROD_MS)+(C40+C41)*IF('Hypothèses'!C171=1,ue_TTS_PROD_IMP,ue_TTS_PROD_MS)+C42*IF('Hypothèses'!C171=1,ue_PUB_PROD_IMP,ue_PUB_PROD_MS)</f>
        <v/>
      </c>
      <c r="D48" s="24">
        <f>D39*IF('Hypothèses'!D171=1,ue_SITE_PROD_IMP,ue_SITE_PROD_MS)+(D40+D41)*IF('Hypothèses'!D171=1,ue_TTS_PROD_IMP,ue_TTS_PROD_MS)+D42*IF('Hypothèses'!D171=1,ue_PUB_PROD_IMP,ue_PUB_PROD_MS)</f>
        <v/>
      </c>
      <c r="E48" s="24">
        <f>E39*IF('Hypothèses'!E171=1,ue_SITE_PROD_IMP,ue_SITE_PROD_MS)+(E40+E41)*IF('Hypothèses'!E171=1,ue_TTS_PROD_IMP,ue_TTS_PROD_MS)+E42*IF('Hypothèses'!E171=1,ue_PUB_PROD_IMP,ue_PUB_PROD_MS)</f>
        <v/>
      </c>
      <c r="F48" s="24">
        <f>F39*IF('Hypothèses'!F171=1,ue_SITE_PROD_IMP,ue_SITE_PROD_MS)+(F40+F41)*IF('Hypothèses'!F171=1,ue_TTS_PROD_IMP,ue_TTS_PROD_MS)+F42*IF('Hypothèses'!F171=1,ue_PUB_PROD_IMP,ue_PUB_PROD_MS)</f>
        <v/>
      </c>
      <c r="G48" s="24">
        <f>G39*IF('Hypothèses'!G171=1,ue_SITE_PROD_IMP,ue_SITE_PROD_MS)+(G40+G41)*IF('Hypothèses'!G171=1,ue_TTS_PROD_IMP,ue_TTS_PROD_MS)+G42*IF('Hypothèses'!G171=1,ue_PUB_PROD_IMP,ue_PUB_PROD_MS)</f>
        <v/>
      </c>
      <c r="H48" s="24">
        <f>H39*IF('Hypothèses'!H171=1,ue_SITE_PROD_IMP,ue_SITE_PROD_MS)+(H40+H41)*IF('Hypothèses'!H171=1,ue_TTS_PROD_IMP,ue_TTS_PROD_MS)+H42*IF('Hypothèses'!H171=1,ue_PUB_PROD_IMP,ue_PUB_PROD_MS)</f>
        <v/>
      </c>
      <c r="I48" s="24">
        <f>I39*IF('Hypothèses'!I171=1,ue_SITE_PROD_IMP,ue_SITE_PROD_MS)+(I40+I41)*IF('Hypothèses'!I171=1,ue_TTS_PROD_IMP,ue_TTS_PROD_MS)+I42*IF('Hypothèses'!I171=1,ue_PUB_PROD_IMP,ue_PUB_PROD_MS)</f>
        <v/>
      </c>
      <c r="J48" s="24">
        <f>J39*IF('Hypothèses'!J171=1,ue_SITE_PROD_IMP,ue_SITE_PROD_MS)+(J40+J41)*IF('Hypothèses'!J171=1,ue_TTS_PROD_IMP,ue_TTS_PROD_MS)+J42*IF('Hypothèses'!J171=1,ue_PUB_PROD_IMP,ue_PUB_PROD_MS)</f>
        <v/>
      </c>
      <c r="K48" s="24">
        <f>K39*IF('Hypothèses'!K171=1,ue_SITE_PROD_IMP,ue_SITE_PROD_MS)+(K40+K41)*IF('Hypothèses'!K171=1,ue_TTS_PROD_IMP,ue_TTS_PROD_MS)+K42*IF('Hypothèses'!K171=1,ue_PUB_PROD_IMP,ue_PUB_PROD_MS)</f>
        <v/>
      </c>
      <c r="L48" s="24">
        <f>L39*IF('Hypothèses'!L171=1,ue_SITE_PROD_IMP,ue_SITE_PROD_MS)+(L40+L41)*IF('Hypothèses'!L171=1,ue_TTS_PROD_IMP,ue_TTS_PROD_MS)+L42*IF('Hypothèses'!L171=1,ue_PUB_PROD_IMP,ue_PUB_PROD_MS)</f>
        <v/>
      </c>
      <c r="M48" s="24">
        <f>M39*IF('Hypothèses'!M171=1,ue_SITE_PROD_IMP,ue_SITE_PROD_MS)+(M40+M41)*IF('Hypothèses'!M171=1,ue_TTS_PROD_IMP,ue_TTS_PROD_MS)+M42*IF('Hypothèses'!M171=1,ue_PUB_PROD_IMP,ue_PUB_PROD_MS)</f>
        <v/>
      </c>
      <c r="N48" s="24">
        <f>N39*IF('Hypothèses'!N171=1,ue_SITE_PROD_IMP,ue_SITE_PROD_MS)+(N40+N41)*IF('Hypothèses'!N171=1,ue_TTS_PROD_IMP,ue_TTS_PROD_MS)+N42*IF('Hypothèses'!N171=1,ue_PUB_PROD_IMP,ue_PUB_PROD_MS)</f>
        <v/>
      </c>
      <c r="O48" s="24">
        <f>O39*IF('Hypothèses'!O171=1,ue_SITE_PROD_IMP,ue_SITE_PROD_MS)+(O40+O41)*IF('Hypothèses'!O171=1,ue_TTS_PROD_IMP,ue_TTS_PROD_MS)+O42*IF('Hypothèses'!O171=1,ue_PUB_PROD_IMP,ue_PUB_PROD_MS)</f>
        <v/>
      </c>
      <c r="P48" s="24">
        <f>P39*IF('Hypothèses'!P171=1,ue_SITE_PROD_IMP,ue_SITE_PROD_MS)+(P40+P41)*IF('Hypothèses'!P171=1,ue_TTS_PROD_IMP,ue_TTS_PROD_MS)+P42*IF('Hypothèses'!P171=1,ue_PUB_PROD_IMP,ue_PUB_PROD_MS)</f>
        <v/>
      </c>
      <c r="Q48" s="24">
        <f>Q39*IF('Hypothèses'!Q171=1,ue_SITE_PROD_IMP,ue_SITE_PROD_MS)+(Q40+Q41)*IF('Hypothèses'!Q171=1,ue_TTS_PROD_IMP,ue_TTS_PROD_MS)+Q42*IF('Hypothèses'!Q171=1,ue_PUB_PROD_IMP,ue_PUB_PROD_MS)</f>
        <v/>
      </c>
      <c r="R48" s="24">
        <f>R39*IF('Hypothèses'!R171=1,ue_SITE_PROD_IMP,ue_SITE_PROD_MS)+(R40+R41)*IF('Hypothèses'!R171=1,ue_TTS_PROD_IMP,ue_TTS_PROD_MS)+R42*IF('Hypothèses'!R171=1,ue_PUB_PROD_IMP,ue_PUB_PROD_MS)</f>
        <v/>
      </c>
      <c r="S48" s="24">
        <f>S39*IF('Hypothèses'!S171=1,ue_SITE_PROD_IMP,ue_SITE_PROD_MS)+(S40+S41)*IF('Hypothèses'!S171=1,ue_TTS_PROD_IMP,ue_TTS_PROD_MS)+S42*IF('Hypothèses'!S171=1,ue_PUB_PROD_IMP,ue_PUB_PROD_MS)</f>
        <v/>
      </c>
      <c r="T48" s="24">
        <f>T39*IF('Hypothèses'!T171=1,ue_SITE_PROD_IMP,ue_SITE_PROD_MS)+(T40+T41)*IF('Hypothèses'!T171=1,ue_TTS_PROD_IMP,ue_TTS_PROD_MS)+T42*IF('Hypothèses'!T171=1,ue_PUB_PROD_IMP,ue_PUB_PROD_MS)</f>
        <v/>
      </c>
      <c r="U48" s="25">
        <f>SUM(C48:T48)</f>
        <v/>
      </c>
    </row>
    <row r="49">
      <c r="A49" s="20" t="inlineStr">
        <is>
          <t>Livraison, emballage, 3PL</t>
        </is>
      </c>
      <c r="C49" s="24">
        <f>C39*IF('Hypothèses'!C171=1,ue_SITE_LOG_IMP,ue_SITE_LOG_MS)+(C40+C41)*IF('Hypothèses'!C171=1,ue_TTS_LOG_IMP,ue_TTS_LOG_MS)+C42*IF('Hypothèses'!C171=1,ue_PUB_LOG_IMP,ue_PUB_LOG_MS)</f>
        <v/>
      </c>
      <c r="D49" s="24">
        <f>D39*IF('Hypothèses'!D171=1,ue_SITE_LOG_IMP,ue_SITE_LOG_MS)+(D40+D41)*IF('Hypothèses'!D171=1,ue_TTS_LOG_IMP,ue_TTS_LOG_MS)+D42*IF('Hypothèses'!D171=1,ue_PUB_LOG_IMP,ue_PUB_LOG_MS)</f>
        <v/>
      </c>
      <c r="E49" s="24">
        <f>E39*IF('Hypothèses'!E171=1,ue_SITE_LOG_IMP,ue_SITE_LOG_MS)+(E40+E41)*IF('Hypothèses'!E171=1,ue_TTS_LOG_IMP,ue_TTS_LOG_MS)+E42*IF('Hypothèses'!E171=1,ue_PUB_LOG_IMP,ue_PUB_LOG_MS)</f>
        <v/>
      </c>
      <c r="F49" s="24">
        <f>F39*IF('Hypothèses'!F171=1,ue_SITE_LOG_IMP,ue_SITE_LOG_MS)+(F40+F41)*IF('Hypothèses'!F171=1,ue_TTS_LOG_IMP,ue_TTS_LOG_MS)+F42*IF('Hypothèses'!F171=1,ue_PUB_LOG_IMP,ue_PUB_LOG_MS)</f>
        <v/>
      </c>
      <c r="G49" s="24">
        <f>G39*IF('Hypothèses'!G171=1,ue_SITE_LOG_IMP,ue_SITE_LOG_MS)+(G40+G41)*IF('Hypothèses'!G171=1,ue_TTS_LOG_IMP,ue_TTS_LOG_MS)+G42*IF('Hypothèses'!G171=1,ue_PUB_LOG_IMP,ue_PUB_LOG_MS)</f>
        <v/>
      </c>
      <c r="H49" s="24">
        <f>H39*IF('Hypothèses'!H171=1,ue_SITE_LOG_IMP,ue_SITE_LOG_MS)+(H40+H41)*IF('Hypothèses'!H171=1,ue_TTS_LOG_IMP,ue_TTS_LOG_MS)+H42*IF('Hypothèses'!H171=1,ue_PUB_LOG_IMP,ue_PUB_LOG_MS)</f>
        <v/>
      </c>
      <c r="I49" s="24">
        <f>I39*IF('Hypothèses'!I171=1,ue_SITE_LOG_IMP,ue_SITE_LOG_MS)+(I40+I41)*IF('Hypothèses'!I171=1,ue_TTS_LOG_IMP,ue_TTS_LOG_MS)+I42*IF('Hypothèses'!I171=1,ue_PUB_LOG_IMP,ue_PUB_LOG_MS)</f>
        <v/>
      </c>
      <c r="J49" s="24">
        <f>J39*IF('Hypothèses'!J171=1,ue_SITE_LOG_IMP,ue_SITE_LOG_MS)+(J40+J41)*IF('Hypothèses'!J171=1,ue_TTS_LOG_IMP,ue_TTS_LOG_MS)+J42*IF('Hypothèses'!J171=1,ue_PUB_LOG_IMP,ue_PUB_LOG_MS)</f>
        <v/>
      </c>
      <c r="K49" s="24">
        <f>K39*IF('Hypothèses'!K171=1,ue_SITE_LOG_IMP,ue_SITE_LOG_MS)+(K40+K41)*IF('Hypothèses'!K171=1,ue_TTS_LOG_IMP,ue_TTS_LOG_MS)+K42*IF('Hypothèses'!K171=1,ue_PUB_LOG_IMP,ue_PUB_LOG_MS)</f>
        <v/>
      </c>
      <c r="L49" s="24">
        <f>L39*IF('Hypothèses'!L171=1,ue_SITE_LOG_IMP,ue_SITE_LOG_MS)+(L40+L41)*IF('Hypothèses'!L171=1,ue_TTS_LOG_IMP,ue_TTS_LOG_MS)+L42*IF('Hypothèses'!L171=1,ue_PUB_LOG_IMP,ue_PUB_LOG_MS)</f>
        <v/>
      </c>
      <c r="M49" s="24">
        <f>M39*IF('Hypothèses'!M171=1,ue_SITE_LOG_IMP,ue_SITE_LOG_MS)+(M40+M41)*IF('Hypothèses'!M171=1,ue_TTS_LOG_IMP,ue_TTS_LOG_MS)+M42*IF('Hypothèses'!M171=1,ue_PUB_LOG_IMP,ue_PUB_LOG_MS)</f>
        <v/>
      </c>
      <c r="N49" s="24">
        <f>N39*IF('Hypothèses'!N171=1,ue_SITE_LOG_IMP,ue_SITE_LOG_MS)+(N40+N41)*IF('Hypothèses'!N171=1,ue_TTS_LOG_IMP,ue_TTS_LOG_MS)+N42*IF('Hypothèses'!N171=1,ue_PUB_LOG_IMP,ue_PUB_LOG_MS)</f>
        <v/>
      </c>
      <c r="O49" s="24">
        <f>O39*IF('Hypothèses'!O171=1,ue_SITE_LOG_IMP,ue_SITE_LOG_MS)+(O40+O41)*IF('Hypothèses'!O171=1,ue_TTS_LOG_IMP,ue_TTS_LOG_MS)+O42*IF('Hypothèses'!O171=1,ue_PUB_LOG_IMP,ue_PUB_LOG_MS)</f>
        <v/>
      </c>
      <c r="P49" s="24">
        <f>P39*IF('Hypothèses'!P171=1,ue_SITE_LOG_IMP,ue_SITE_LOG_MS)+(P40+P41)*IF('Hypothèses'!P171=1,ue_TTS_LOG_IMP,ue_TTS_LOG_MS)+P42*IF('Hypothèses'!P171=1,ue_PUB_LOG_IMP,ue_PUB_LOG_MS)</f>
        <v/>
      </c>
      <c r="Q49" s="24">
        <f>Q39*IF('Hypothèses'!Q171=1,ue_SITE_LOG_IMP,ue_SITE_LOG_MS)+(Q40+Q41)*IF('Hypothèses'!Q171=1,ue_TTS_LOG_IMP,ue_TTS_LOG_MS)+Q42*IF('Hypothèses'!Q171=1,ue_PUB_LOG_IMP,ue_PUB_LOG_MS)</f>
        <v/>
      </c>
      <c r="R49" s="24">
        <f>R39*IF('Hypothèses'!R171=1,ue_SITE_LOG_IMP,ue_SITE_LOG_MS)+(R40+R41)*IF('Hypothèses'!R171=1,ue_TTS_LOG_IMP,ue_TTS_LOG_MS)+R42*IF('Hypothèses'!R171=1,ue_PUB_LOG_IMP,ue_PUB_LOG_MS)</f>
        <v/>
      </c>
      <c r="S49" s="24">
        <f>S39*IF('Hypothèses'!S171=1,ue_SITE_LOG_IMP,ue_SITE_LOG_MS)+(S40+S41)*IF('Hypothèses'!S171=1,ue_TTS_LOG_IMP,ue_TTS_LOG_MS)+S42*IF('Hypothèses'!S171=1,ue_PUB_LOG_IMP,ue_PUB_LOG_MS)</f>
        <v/>
      </c>
      <c r="T49" s="24">
        <f>T39*IF('Hypothèses'!T171=1,ue_SITE_LOG_IMP,ue_SITE_LOG_MS)+(T40+T41)*IF('Hypothèses'!T171=1,ue_TTS_LOG_IMP,ue_TTS_LOG_MS)+T42*IF('Hypothèses'!T171=1,ue_PUB_LOG_IMP,ue_PUB_LOG_MS)</f>
        <v/>
      </c>
      <c r="U49" s="25">
        <f>SUM(C49:T49)</f>
        <v/>
      </c>
    </row>
    <row r="50">
      <c r="A50" s="20" t="inlineStr">
        <is>
          <t>Frais de paiement</t>
        </is>
      </c>
      <c r="C50" s="24">
        <f>C39*ue_SITE_PAY+C42*ue_PUB_PAY</f>
        <v/>
      </c>
      <c r="D50" s="24">
        <f>D39*ue_SITE_PAY+D42*ue_PUB_PAY</f>
        <v/>
      </c>
      <c r="E50" s="24">
        <f>E39*ue_SITE_PAY+E42*ue_PUB_PAY</f>
        <v/>
      </c>
      <c r="F50" s="24">
        <f>F39*ue_SITE_PAY+F42*ue_PUB_PAY</f>
        <v/>
      </c>
      <c r="G50" s="24">
        <f>G39*ue_SITE_PAY+G42*ue_PUB_PAY</f>
        <v/>
      </c>
      <c r="H50" s="24">
        <f>H39*ue_SITE_PAY+H42*ue_PUB_PAY</f>
        <v/>
      </c>
      <c r="I50" s="24">
        <f>I39*ue_SITE_PAY+I42*ue_PUB_PAY</f>
        <v/>
      </c>
      <c r="J50" s="24">
        <f>J39*ue_SITE_PAY+J42*ue_PUB_PAY</f>
        <v/>
      </c>
      <c r="K50" s="24">
        <f>K39*ue_SITE_PAY+K42*ue_PUB_PAY</f>
        <v/>
      </c>
      <c r="L50" s="24">
        <f>L39*ue_SITE_PAY+L42*ue_PUB_PAY</f>
        <v/>
      </c>
      <c r="M50" s="24">
        <f>M39*ue_SITE_PAY+M42*ue_PUB_PAY</f>
        <v/>
      </c>
      <c r="N50" s="24">
        <f>N39*ue_SITE_PAY+N42*ue_PUB_PAY</f>
        <v/>
      </c>
      <c r="O50" s="24">
        <f>O39*ue_SITE_PAY+O42*ue_PUB_PAY</f>
        <v/>
      </c>
      <c r="P50" s="24">
        <f>P39*ue_SITE_PAY+P42*ue_PUB_PAY</f>
        <v/>
      </c>
      <c r="Q50" s="24">
        <f>Q39*ue_SITE_PAY+Q42*ue_PUB_PAY</f>
        <v/>
      </c>
      <c r="R50" s="24">
        <f>R39*ue_SITE_PAY+R42*ue_PUB_PAY</f>
        <v/>
      </c>
      <c r="S50" s="24">
        <f>S39*ue_SITE_PAY+S42*ue_PUB_PAY</f>
        <v/>
      </c>
      <c r="T50" s="24">
        <f>T39*ue_SITE_PAY+T42*ue_PUB_PAY</f>
        <v/>
      </c>
      <c r="U50" s="25">
        <f>SUM(C50:T50)</f>
        <v/>
      </c>
    </row>
    <row r="51">
      <c r="A51" s="20" t="inlineStr">
        <is>
          <t>Commission TikTok Shop</t>
        </is>
      </c>
      <c r="C51" s="24">
        <f>(C40+C41)*ue_TTS_TTC*'Hypothèses'!C170</f>
        <v/>
      </c>
      <c r="D51" s="24">
        <f>(D40+D41)*ue_TTS_TTC*'Hypothèses'!D170</f>
        <v/>
      </c>
      <c r="E51" s="24">
        <f>(E40+E41)*ue_TTS_TTC*'Hypothèses'!E170</f>
        <v/>
      </c>
      <c r="F51" s="24">
        <f>(F40+F41)*ue_TTS_TTC*'Hypothèses'!F170</f>
        <v/>
      </c>
      <c r="G51" s="24">
        <f>(G40+G41)*ue_TTS_TTC*'Hypothèses'!G170</f>
        <v/>
      </c>
      <c r="H51" s="24">
        <f>(H40+H41)*ue_TTS_TTC*'Hypothèses'!H170</f>
        <v/>
      </c>
      <c r="I51" s="24">
        <f>(I40+I41)*ue_TTS_TTC*'Hypothèses'!I170</f>
        <v/>
      </c>
      <c r="J51" s="24">
        <f>(J40+J41)*ue_TTS_TTC*'Hypothèses'!J170</f>
        <v/>
      </c>
      <c r="K51" s="24">
        <f>(K40+K41)*ue_TTS_TTC*'Hypothèses'!K170</f>
        <v/>
      </c>
      <c r="L51" s="24">
        <f>(L40+L41)*ue_TTS_TTC*'Hypothèses'!L170</f>
        <v/>
      </c>
      <c r="M51" s="24">
        <f>(M40+M41)*ue_TTS_TTC*'Hypothèses'!M170</f>
        <v/>
      </c>
      <c r="N51" s="24">
        <f>(N40+N41)*ue_TTS_TTC*'Hypothèses'!N170</f>
        <v/>
      </c>
      <c r="O51" s="24">
        <f>(O40+O41)*ue_TTS_TTC*'Hypothèses'!O170</f>
        <v/>
      </c>
      <c r="P51" s="24">
        <f>(P40+P41)*ue_TTS_TTC*'Hypothèses'!P170</f>
        <v/>
      </c>
      <c r="Q51" s="24">
        <f>(Q40+Q41)*ue_TTS_TTC*'Hypothèses'!Q170</f>
        <v/>
      </c>
      <c r="R51" s="24">
        <f>(R40+R41)*ue_TTS_TTC*'Hypothèses'!R170</f>
        <v/>
      </c>
      <c r="S51" s="24">
        <f>(S40+S41)*ue_TTS_TTC*'Hypothèses'!S170</f>
        <v/>
      </c>
      <c r="T51" s="24">
        <f>(T40+T41)*ue_TTS_TTC*'Hypothèses'!T170</f>
        <v/>
      </c>
      <c r="U51" s="25">
        <f>SUM(C51:T51)</f>
        <v/>
      </c>
    </row>
    <row r="52">
      <c r="A52" s="20" t="inlineStr">
        <is>
          <t>Commission des créateurs</t>
        </is>
      </c>
      <c r="C52" s="24">
        <f>C41*ue_TTS_TTC*h_CREA_COMM</f>
        <v/>
      </c>
      <c r="D52" s="24">
        <f>D41*ue_TTS_TTC*h_CREA_COMM</f>
        <v/>
      </c>
      <c r="E52" s="24">
        <f>E41*ue_TTS_TTC*h_CREA_COMM</f>
        <v/>
      </c>
      <c r="F52" s="24">
        <f>F41*ue_TTS_TTC*h_CREA_COMM</f>
        <v/>
      </c>
      <c r="G52" s="24">
        <f>G41*ue_TTS_TTC*h_CREA_COMM</f>
        <v/>
      </c>
      <c r="H52" s="24">
        <f>H41*ue_TTS_TTC*h_CREA_COMM</f>
        <v/>
      </c>
      <c r="I52" s="24">
        <f>I41*ue_TTS_TTC*h_CREA_COMM</f>
        <v/>
      </c>
      <c r="J52" s="24">
        <f>J41*ue_TTS_TTC*h_CREA_COMM</f>
        <v/>
      </c>
      <c r="K52" s="24">
        <f>K41*ue_TTS_TTC*h_CREA_COMM</f>
        <v/>
      </c>
      <c r="L52" s="24">
        <f>L41*ue_TTS_TTC*h_CREA_COMM</f>
        <v/>
      </c>
      <c r="M52" s="24">
        <f>M41*ue_TTS_TTC*h_CREA_COMM</f>
        <v/>
      </c>
      <c r="N52" s="24">
        <f>N41*ue_TTS_TTC*h_CREA_COMM</f>
        <v/>
      </c>
      <c r="O52" s="24">
        <f>O41*ue_TTS_TTC*h_CREA_COMM</f>
        <v/>
      </c>
      <c r="P52" s="24">
        <f>P41*ue_TTS_TTC*h_CREA_COMM</f>
        <v/>
      </c>
      <c r="Q52" s="24">
        <f>Q41*ue_TTS_TTC*h_CREA_COMM</f>
        <v/>
      </c>
      <c r="R52" s="24">
        <f>R41*ue_TTS_TTC*h_CREA_COMM</f>
        <v/>
      </c>
      <c r="S52" s="24">
        <f>S41*ue_TTS_TTC*h_CREA_COMM</f>
        <v/>
      </c>
      <c r="T52" s="24">
        <f>T41*ue_TTS_TTC*h_CREA_COMM</f>
        <v/>
      </c>
      <c r="U52" s="25">
        <f>SUM(C52:T52)</f>
        <v/>
      </c>
    </row>
    <row r="53">
      <c r="A53" s="20" t="inlineStr">
        <is>
          <t>Provision retours, SAV, litiges</t>
        </is>
      </c>
      <c r="C53" s="24">
        <f>h_PROV_RETOURS*C46</f>
        <v/>
      </c>
      <c r="D53" s="24">
        <f>h_PROV_RETOURS*D46</f>
        <v/>
      </c>
      <c r="E53" s="24">
        <f>h_PROV_RETOURS*E46</f>
        <v/>
      </c>
      <c r="F53" s="24">
        <f>h_PROV_RETOURS*F46</f>
        <v/>
      </c>
      <c r="G53" s="24">
        <f>h_PROV_RETOURS*G46</f>
        <v/>
      </c>
      <c r="H53" s="24">
        <f>h_PROV_RETOURS*H46</f>
        <v/>
      </c>
      <c r="I53" s="24">
        <f>h_PROV_RETOURS*I46</f>
        <v/>
      </c>
      <c r="J53" s="24">
        <f>h_PROV_RETOURS*J46</f>
        <v/>
      </c>
      <c r="K53" s="24">
        <f>h_PROV_RETOURS*K46</f>
        <v/>
      </c>
      <c r="L53" s="24">
        <f>h_PROV_RETOURS*L46</f>
        <v/>
      </c>
      <c r="M53" s="24">
        <f>h_PROV_RETOURS*M46</f>
        <v/>
      </c>
      <c r="N53" s="24">
        <f>h_PROV_RETOURS*N46</f>
        <v/>
      </c>
      <c r="O53" s="24">
        <f>h_PROV_RETOURS*O46</f>
        <v/>
      </c>
      <c r="P53" s="24">
        <f>h_PROV_RETOURS*P46</f>
        <v/>
      </c>
      <c r="Q53" s="24">
        <f>h_PROV_RETOURS*Q46</f>
        <v/>
      </c>
      <c r="R53" s="24">
        <f>h_PROV_RETOURS*R46</f>
        <v/>
      </c>
      <c r="S53" s="24">
        <f>h_PROV_RETOURS*S46</f>
        <v/>
      </c>
      <c r="T53" s="24">
        <f>h_PROV_RETOURS*T46</f>
        <v/>
      </c>
      <c r="U53" s="25">
        <f>SUM(C53:T53)</f>
        <v/>
      </c>
    </row>
    <row r="54">
      <c r="A54" s="22" t="inlineStr">
        <is>
          <t>Marge de contribution</t>
        </is>
      </c>
      <c r="C54" s="25">
        <f>C46-SUM(C48:C53)</f>
        <v/>
      </c>
      <c r="D54" s="25">
        <f>D46-SUM(D48:D53)</f>
        <v/>
      </c>
      <c r="E54" s="25">
        <f>E46-SUM(E48:E53)</f>
        <v/>
      </c>
      <c r="F54" s="25">
        <f>F46-SUM(F48:F53)</f>
        <v/>
      </c>
      <c r="G54" s="25">
        <f>G46-SUM(G48:G53)</f>
        <v/>
      </c>
      <c r="H54" s="25">
        <f>H46-SUM(H48:H53)</f>
        <v/>
      </c>
      <c r="I54" s="25">
        <f>I46-SUM(I48:I53)</f>
        <v/>
      </c>
      <c r="J54" s="25">
        <f>J46-SUM(J48:J53)</f>
        <v/>
      </c>
      <c r="K54" s="25">
        <f>K46-SUM(K48:K53)</f>
        <v/>
      </c>
      <c r="L54" s="25">
        <f>L46-SUM(L48:L53)</f>
        <v/>
      </c>
      <c r="M54" s="25">
        <f>M46-SUM(M48:M53)</f>
        <v/>
      </c>
      <c r="N54" s="25">
        <f>N46-SUM(N48:N53)</f>
        <v/>
      </c>
      <c r="O54" s="25">
        <f>O46-SUM(O48:O53)</f>
        <v/>
      </c>
      <c r="P54" s="25">
        <f>P46-SUM(P48:P53)</f>
        <v/>
      </c>
      <c r="Q54" s="25">
        <f>Q46-SUM(Q48:Q53)</f>
        <v/>
      </c>
      <c r="R54" s="25">
        <f>R46-SUM(R48:R53)</f>
        <v/>
      </c>
      <c r="S54" s="25">
        <f>S46-SUM(S48:S53)</f>
        <v/>
      </c>
      <c r="T54" s="25">
        <f>T46-SUM(T48:T53)</f>
        <v/>
      </c>
      <c r="U54" s="25">
        <f>SUM(C54:T54)</f>
        <v/>
      </c>
    </row>
    <row r="55">
      <c r="A55" s="20" t="inlineStr">
        <is>
          <t>Publicité</t>
        </is>
      </c>
      <c r="C55" s="24">
        <f>'Hypothèses'!C172</f>
        <v/>
      </c>
      <c r="D55" s="24">
        <f>'Hypothèses'!D172</f>
        <v/>
      </c>
      <c r="E55" s="24">
        <f>'Hypothèses'!E172</f>
        <v/>
      </c>
      <c r="F55" s="24">
        <f>'Hypothèses'!F172</f>
        <v/>
      </c>
      <c r="G55" s="24">
        <f>'Hypothèses'!G172</f>
        <v/>
      </c>
      <c r="H55" s="24">
        <f>'Hypothèses'!H172</f>
        <v/>
      </c>
      <c r="I55" s="24">
        <f>'Hypothèses'!I172</f>
        <v/>
      </c>
      <c r="J55" s="24">
        <f>'Hypothèses'!J172</f>
        <v/>
      </c>
      <c r="K55" s="24">
        <f>'Hypothèses'!K172</f>
        <v/>
      </c>
      <c r="L55" s="24">
        <f>'Hypothèses'!L172</f>
        <v/>
      </c>
      <c r="M55" s="24">
        <f>'Hypothèses'!M172</f>
        <v/>
      </c>
      <c r="N55" s="24">
        <f>'Hypothèses'!N172</f>
        <v/>
      </c>
      <c r="O55" s="24">
        <f>'Hypothèses'!O172</f>
        <v/>
      </c>
      <c r="P55" s="24">
        <f>'Hypothèses'!P172</f>
        <v/>
      </c>
      <c r="Q55" s="24">
        <f>'Hypothèses'!Q172</f>
        <v/>
      </c>
      <c r="R55" s="24">
        <f>'Hypothèses'!R172</f>
        <v/>
      </c>
      <c r="S55" s="24">
        <f>'Hypothèses'!S172</f>
        <v/>
      </c>
      <c r="T55" s="24">
        <f>'Hypothèses'!T172</f>
        <v/>
      </c>
      <c r="U55" s="25">
        <f>SUM(C55:T55)</f>
        <v/>
      </c>
    </row>
    <row r="56">
      <c r="A56" s="20" t="inlineStr">
        <is>
          <t>Échantillons créateurs</t>
        </is>
      </c>
      <c r="C56" s="24">
        <f>'Hypothèses'!C174</f>
        <v/>
      </c>
      <c r="D56" s="24">
        <f>'Hypothèses'!D174</f>
        <v/>
      </c>
      <c r="E56" s="24">
        <f>'Hypothèses'!E174</f>
        <v/>
      </c>
      <c r="F56" s="24">
        <f>'Hypothèses'!F174</f>
        <v/>
      </c>
      <c r="G56" s="24">
        <f>'Hypothèses'!G174</f>
        <v/>
      </c>
      <c r="H56" s="24">
        <f>'Hypothèses'!H174</f>
        <v/>
      </c>
      <c r="I56" s="24">
        <f>'Hypothèses'!I174</f>
        <v/>
      </c>
      <c r="J56" s="24">
        <f>'Hypothèses'!J174</f>
        <v/>
      </c>
      <c r="K56" s="24">
        <f>'Hypothèses'!K174</f>
        <v/>
      </c>
      <c r="L56" s="24">
        <f>'Hypothèses'!L174</f>
        <v/>
      </c>
      <c r="M56" s="24">
        <f>'Hypothèses'!M174</f>
        <v/>
      </c>
      <c r="N56" s="24">
        <f>'Hypothèses'!N174</f>
        <v/>
      </c>
      <c r="O56" s="24">
        <f>'Hypothèses'!O174</f>
        <v/>
      </c>
      <c r="P56" s="24">
        <f>'Hypothèses'!P174</f>
        <v/>
      </c>
      <c r="Q56" s="24">
        <f>'Hypothèses'!Q174</f>
        <v/>
      </c>
      <c r="R56" s="24">
        <f>'Hypothèses'!R174</f>
        <v/>
      </c>
      <c r="S56" s="24">
        <f>'Hypothèses'!S174</f>
        <v/>
      </c>
      <c r="T56" s="24">
        <f>'Hypothèses'!T174</f>
        <v/>
      </c>
      <c r="U56" s="25">
        <f>SUM(C56:T56)</f>
        <v/>
      </c>
    </row>
    <row r="57">
      <c r="A57" s="20" t="inlineStr">
        <is>
          <t>Frais fixes et ponctuels</t>
        </is>
      </c>
      <c r="C57" s="24">
        <f>'Hypothèses'!C178+'Hypothèses'!C179+'Hypothèses'!C180+'Hypothèses'!C181+'Hypothèses'!C182</f>
        <v/>
      </c>
      <c r="D57" s="24">
        <f>'Hypothèses'!D178+'Hypothèses'!D179+'Hypothèses'!D180+'Hypothèses'!D181+'Hypothèses'!D182</f>
        <v/>
      </c>
      <c r="E57" s="24">
        <f>'Hypothèses'!E178+'Hypothèses'!E179+'Hypothèses'!E180+'Hypothèses'!E181+'Hypothèses'!E182</f>
        <v/>
      </c>
      <c r="F57" s="24">
        <f>'Hypothèses'!F178+'Hypothèses'!F179+'Hypothèses'!F180+'Hypothèses'!F181+'Hypothèses'!F182</f>
        <v/>
      </c>
      <c r="G57" s="24">
        <f>'Hypothèses'!G178+'Hypothèses'!G179+'Hypothèses'!G180+'Hypothèses'!G181+'Hypothèses'!G182</f>
        <v/>
      </c>
      <c r="H57" s="24">
        <f>'Hypothèses'!H178+'Hypothèses'!H179+'Hypothèses'!H180+'Hypothèses'!H181+'Hypothèses'!H182</f>
        <v/>
      </c>
      <c r="I57" s="24">
        <f>'Hypothèses'!I178+'Hypothèses'!I179+'Hypothèses'!I180+'Hypothèses'!I181+'Hypothèses'!I182</f>
        <v/>
      </c>
      <c r="J57" s="24">
        <f>'Hypothèses'!J178+'Hypothèses'!J179+'Hypothèses'!J180+'Hypothèses'!J181+'Hypothèses'!J182</f>
        <v/>
      </c>
      <c r="K57" s="24">
        <f>'Hypothèses'!K178+'Hypothèses'!K179+'Hypothèses'!K180+'Hypothèses'!K181+'Hypothèses'!K182</f>
        <v/>
      </c>
      <c r="L57" s="24">
        <f>'Hypothèses'!L178+'Hypothèses'!L179+'Hypothèses'!L180+'Hypothèses'!L181+'Hypothèses'!L182</f>
        <v/>
      </c>
      <c r="M57" s="24">
        <f>'Hypothèses'!M178+'Hypothèses'!M179+'Hypothèses'!M180+'Hypothèses'!M181+'Hypothèses'!M182</f>
        <v/>
      </c>
      <c r="N57" s="24">
        <f>'Hypothèses'!N178+'Hypothèses'!N179+'Hypothèses'!N180+'Hypothèses'!N181+'Hypothèses'!N182</f>
        <v/>
      </c>
      <c r="O57" s="24">
        <f>'Hypothèses'!O178+'Hypothèses'!O179+'Hypothèses'!O180+'Hypothèses'!O181+'Hypothèses'!O182</f>
        <v/>
      </c>
      <c r="P57" s="24">
        <f>'Hypothèses'!P178+'Hypothèses'!P179+'Hypothèses'!P180+'Hypothèses'!P181+'Hypothèses'!P182</f>
        <v/>
      </c>
      <c r="Q57" s="24">
        <f>'Hypothèses'!Q178+'Hypothèses'!Q179+'Hypothèses'!Q180+'Hypothèses'!Q181+'Hypothèses'!Q182</f>
        <v/>
      </c>
      <c r="R57" s="24">
        <f>'Hypothèses'!R178+'Hypothèses'!R179+'Hypothèses'!R180+'Hypothèses'!R181+'Hypothèses'!R182</f>
        <v/>
      </c>
      <c r="S57" s="24">
        <f>'Hypothèses'!S178+'Hypothèses'!S179+'Hypothèses'!S180+'Hypothèses'!S181+'Hypothèses'!S182</f>
        <v/>
      </c>
      <c r="T57" s="24">
        <f>'Hypothèses'!T178+'Hypothèses'!T179+'Hypothèses'!T180+'Hypothèses'!T181+'Hypothèses'!T182</f>
        <v/>
      </c>
      <c r="U57" s="25">
        <f>SUM(C57:T57)</f>
        <v/>
      </c>
    </row>
    <row r="58">
      <c r="A58" s="22" t="inlineStr">
        <is>
          <t>Bénéfice net (avant IS et rémunération du dirigeant)</t>
        </is>
      </c>
      <c r="C58" s="26">
        <f>C54-C55-C56-C57</f>
        <v/>
      </c>
      <c r="D58" s="26">
        <f>D54-D55-D56-D57</f>
        <v/>
      </c>
      <c r="E58" s="26">
        <f>E54-E55-E56-E57</f>
        <v/>
      </c>
      <c r="F58" s="26">
        <f>F54-F55-F56-F57</f>
        <v/>
      </c>
      <c r="G58" s="26">
        <f>G54-G55-G56-G57</f>
        <v/>
      </c>
      <c r="H58" s="26">
        <f>H54-H55-H56-H57</f>
        <v/>
      </c>
      <c r="I58" s="26">
        <f>I54-I55-I56-I57</f>
        <v/>
      </c>
      <c r="J58" s="26">
        <f>J54-J55-J56-J57</f>
        <v/>
      </c>
      <c r="K58" s="26">
        <f>K54-K55-K56-K57</f>
        <v/>
      </c>
      <c r="L58" s="26">
        <f>L54-L55-L56-L57</f>
        <v/>
      </c>
      <c r="M58" s="26">
        <f>M54-M55-M56-M57</f>
        <v/>
      </c>
      <c r="N58" s="26">
        <f>N54-N55-N56-N57</f>
        <v/>
      </c>
      <c r="O58" s="26">
        <f>O54-O55-O56-O57</f>
        <v/>
      </c>
      <c r="P58" s="26">
        <f>P54-P55-P56-P57</f>
        <v/>
      </c>
      <c r="Q58" s="26">
        <f>Q54-Q55-Q56-Q57</f>
        <v/>
      </c>
      <c r="R58" s="26">
        <f>R54-R55-R56-R57</f>
        <v/>
      </c>
      <c r="S58" s="26">
        <f>S54-S55-S56-S57</f>
        <v/>
      </c>
      <c r="T58" s="26">
        <f>T54-T55-T56-T57</f>
        <v/>
      </c>
      <c r="U58" s="25">
        <f>SUM(C58:T58)</f>
        <v/>
      </c>
    </row>
    <row r="59">
      <c r="A59" s="20" t="inlineStr">
        <is>
          <t>Bénéfice net cumulé</t>
        </is>
      </c>
      <c r="C59" s="24">
        <f>C58</f>
        <v/>
      </c>
      <c r="D59" s="24">
        <f>D58+C59</f>
        <v/>
      </c>
      <c r="E59" s="24">
        <f>E58+D59</f>
        <v/>
      </c>
      <c r="F59" s="24">
        <f>F58+E59</f>
        <v/>
      </c>
      <c r="G59" s="24">
        <f>G58+F59</f>
        <v/>
      </c>
      <c r="H59" s="24">
        <f>H58+G59</f>
        <v/>
      </c>
      <c r="I59" s="24">
        <f>I58+H59</f>
        <v/>
      </c>
      <c r="J59" s="24">
        <f>J58+I59</f>
        <v/>
      </c>
      <c r="K59" s="24">
        <f>K58+J59</f>
        <v/>
      </c>
      <c r="L59" s="24">
        <f>L58+K59</f>
        <v/>
      </c>
      <c r="M59" s="24">
        <f>M58+L59</f>
        <v/>
      </c>
      <c r="N59" s="24">
        <f>N58+M59</f>
        <v/>
      </c>
      <c r="O59" s="24">
        <f>O58+N59</f>
        <v/>
      </c>
      <c r="P59" s="24">
        <f>P58+O59</f>
        <v/>
      </c>
      <c r="Q59" s="24">
        <f>Q58+P59</f>
        <v/>
      </c>
      <c r="R59" s="24">
        <f>R58+Q59</f>
        <v/>
      </c>
      <c r="S59" s="24">
        <f>S58+R59</f>
        <v/>
      </c>
      <c r="T59" s="24">
        <f>T58+S59</f>
        <v/>
      </c>
    </row>
    <row r="60">
      <c r="A60" s="20" t="inlineStr">
        <is>
          <t>Coûts totaux (CA HT − bénéfice net)</t>
        </is>
      </c>
      <c r="C60" s="24">
        <f>C46-C58</f>
        <v/>
      </c>
      <c r="D60" s="24">
        <f>D46-D58</f>
        <v/>
      </c>
      <c r="E60" s="24">
        <f>E46-E58</f>
        <v/>
      </c>
      <c r="F60" s="24">
        <f>F46-F58</f>
        <v/>
      </c>
      <c r="G60" s="24">
        <f>G46-G58</f>
        <v/>
      </c>
      <c r="H60" s="24">
        <f>H46-H58</f>
        <v/>
      </c>
      <c r="I60" s="24">
        <f>I46-I58</f>
        <v/>
      </c>
      <c r="J60" s="24">
        <f>J46-J58</f>
        <v/>
      </c>
      <c r="K60" s="24">
        <f>K46-K58</f>
        <v/>
      </c>
      <c r="L60" s="24">
        <f>L46-L58</f>
        <v/>
      </c>
      <c r="M60" s="24">
        <f>M46-M58</f>
        <v/>
      </c>
      <c r="N60" s="24">
        <f>N46-N58</f>
        <v/>
      </c>
      <c r="O60" s="24">
        <f>O46-O58</f>
        <v/>
      </c>
      <c r="P60" s="24">
        <f>P46-P58</f>
        <v/>
      </c>
      <c r="Q60" s="24">
        <f>Q46-Q58</f>
        <v/>
      </c>
      <c r="R60" s="24">
        <f>R46-R58</f>
        <v/>
      </c>
      <c r="S60" s="24">
        <f>S46-S58</f>
        <v/>
      </c>
      <c r="T60" s="24">
        <f>T46-T58</f>
        <v/>
      </c>
      <c r="U60" s="25">
        <f>SUM(C60:T60)</f>
        <v/>
      </c>
    </row>
    <row r="61">
      <c r="A61" s="20" t="inlineStr">
        <is>
          <t>Nouvel exercice (1 = oui)</t>
        </is>
      </c>
      <c r="C61" s="27">
        <f>1</f>
        <v/>
      </c>
      <c r="D61" s="27">
        <f>IF(D38&lt;&gt;C38,1,0)</f>
        <v/>
      </c>
      <c r="E61" s="27">
        <f>IF(E38&lt;&gt;D38,1,0)</f>
        <v/>
      </c>
      <c r="F61" s="27">
        <f>IF(F38&lt;&gt;E38,1,0)</f>
        <v/>
      </c>
      <c r="G61" s="27">
        <f>IF(G38&lt;&gt;F38,1,0)</f>
        <v/>
      </c>
      <c r="H61" s="27">
        <f>IF(H38&lt;&gt;G38,1,0)</f>
        <v/>
      </c>
      <c r="I61" s="27">
        <f>IF(I38&lt;&gt;H38,1,0)</f>
        <v/>
      </c>
      <c r="J61" s="27">
        <f>IF(J38&lt;&gt;I38,1,0)</f>
        <v/>
      </c>
      <c r="K61" s="27">
        <f>IF(K38&lt;&gt;J38,1,0)</f>
        <v/>
      </c>
      <c r="L61" s="27">
        <f>IF(L38&lt;&gt;K38,1,0)</f>
        <v/>
      </c>
      <c r="M61" s="27">
        <f>IF(M38&lt;&gt;L38,1,0)</f>
        <v/>
      </c>
      <c r="N61" s="27">
        <f>IF(N38&lt;&gt;M38,1,0)</f>
        <v/>
      </c>
      <c r="O61" s="27">
        <f>IF(O38&lt;&gt;N38,1,0)</f>
        <v/>
      </c>
      <c r="P61" s="27">
        <f>IF(P38&lt;&gt;O38,1,0)</f>
        <v/>
      </c>
      <c r="Q61" s="27">
        <f>IF(Q38&lt;&gt;P38,1,0)</f>
        <v/>
      </c>
      <c r="R61" s="27">
        <f>IF(R38&lt;&gt;Q38,1,0)</f>
        <v/>
      </c>
      <c r="S61" s="27">
        <f>IF(S38&lt;&gt;R38,1,0)</f>
        <v/>
      </c>
      <c r="T61" s="27">
        <f>IF(T38&lt;&gt;S38,1,0)</f>
        <v/>
      </c>
    </row>
    <row r="62">
      <c r="A62" s="20" t="inlineStr">
        <is>
          <t>Base IS cumulée de l'exercice (déficit antérieur reporté)</t>
        </is>
      </c>
      <c r="C62" s="24">
        <f>C58</f>
        <v/>
      </c>
      <c r="D62" s="24">
        <f>IF(D61=1,MIN(0,C62)+D58,C62+D58)</f>
        <v/>
      </c>
      <c r="E62" s="24">
        <f>IF(E61=1,MIN(0,D62)+E58,D62+E58)</f>
        <v/>
      </c>
      <c r="F62" s="24">
        <f>IF(F61=1,MIN(0,E62)+F58,E62+F58)</f>
        <v/>
      </c>
      <c r="G62" s="24">
        <f>IF(G61=1,MIN(0,F62)+G58,F62+G58)</f>
        <v/>
      </c>
      <c r="H62" s="24">
        <f>IF(H61=1,MIN(0,G62)+H58,G62+H58)</f>
        <v/>
      </c>
      <c r="I62" s="24">
        <f>IF(I61=1,MIN(0,H62)+I58,H62+I58)</f>
        <v/>
      </c>
      <c r="J62" s="24">
        <f>IF(J61=1,MIN(0,I62)+J58,I62+J58)</f>
        <v/>
      </c>
      <c r="K62" s="24">
        <f>IF(K61=1,MIN(0,J62)+K58,J62+K58)</f>
        <v/>
      </c>
      <c r="L62" s="24">
        <f>IF(L61=1,MIN(0,K62)+L58,K62+L58)</f>
        <v/>
      </c>
      <c r="M62" s="24">
        <f>IF(M61=1,MIN(0,L62)+M58,L62+M58)</f>
        <v/>
      </c>
      <c r="N62" s="24">
        <f>IF(N61=1,MIN(0,M62)+N58,M62+N58)</f>
        <v/>
      </c>
      <c r="O62" s="24">
        <f>IF(O61=1,MIN(0,N62)+O58,N62+O58)</f>
        <v/>
      </c>
      <c r="P62" s="24">
        <f>IF(P61=1,MIN(0,O62)+P58,O62+P58)</f>
        <v/>
      </c>
      <c r="Q62" s="24">
        <f>IF(Q61=1,MIN(0,P62)+Q58,P62+Q58)</f>
        <v/>
      </c>
      <c r="R62" s="24">
        <f>IF(R61=1,MIN(0,Q62)+R58,Q62+R58)</f>
        <v/>
      </c>
      <c r="S62" s="24">
        <f>IF(S61=1,MIN(0,R62)+S58,R62+S58)</f>
        <v/>
      </c>
      <c r="T62" s="24">
        <f>IF(T61=1,MIN(0,S62)+T58,S62+T58)</f>
        <v/>
      </c>
    </row>
    <row r="63">
      <c r="A63" s="20" t="inlineStr">
        <is>
          <t>IS cumulé de l'exercice</t>
        </is>
      </c>
      <c r="C63" s="24">
        <f>h_IS_TAUX_REDUIT*MIN(MAX(C62,0),h_IS_SEUIL)+h_IS_TAUX_NORMAL*MAX(C62-h_IS_SEUIL,0)</f>
        <v/>
      </c>
      <c r="D63" s="24">
        <f>h_IS_TAUX_REDUIT*MIN(MAX(D62,0),h_IS_SEUIL)+h_IS_TAUX_NORMAL*MAX(D62-h_IS_SEUIL,0)</f>
        <v/>
      </c>
      <c r="E63" s="24">
        <f>h_IS_TAUX_REDUIT*MIN(MAX(E62,0),h_IS_SEUIL)+h_IS_TAUX_NORMAL*MAX(E62-h_IS_SEUIL,0)</f>
        <v/>
      </c>
      <c r="F63" s="24">
        <f>h_IS_TAUX_REDUIT*MIN(MAX(F62,0),h_IS_SEUIL)+h_IS_TAUX_NORMAL*MAX(F62-h_IS_SEUIL,0)</f>
        <v/>
      </c>
      <c r="G63" s="24">
        <f>h_IS_TAUX_REDUIT*MIN(MAX(G62,0),h_IS_SEUIL)+h_IS_TAUX_NORMAL*MAX(G62-h_IS_SEUIL,0)</f>
        <v/>
      </c>
      <c r="H63" s="24">
        <f>h_IS_TAUX_REDUIT*MIN(MAX(H62,0),h_IS_SEUIL)+h_IS_TAUX_NORMAL*MAX(H62-h_IS_SEUIL,0)</f>
        <v/>
      </c>
      <c r="I63" s="24">
        <f>h_IS_TAUX_REDUIT*MIN(MAX(I62,0),h_IS_SEUIL)+h_IS_TAUX_NORMAL*MAX(I62-h_IS_SEUIL,0)</f>
        <v/>
      </c>
      <c r="J63" s="24">
        <f>h_IS_TAUX_REDUIT*MIN(MAX(J62,0),h_IS_SEUIL)+h_IS_TAUX_NORMAL*MAX(J62-h_IS_SEUIL,0)</f>
        <v/>
      </c>
      <c r="K63" s="24">
        <f>h_IS_TAUX_REDUIT*MIN(MAX(K62,0),h_IS_SEUIL)+h_IS_TAUX_NORMAL*MAX(K62-h_IS_SEUIL,0)</f>
        <v/>
      </c>
      <c r="L63" s="24">
        <f>h_IS_TAUX_REDUIT*MIN(MAX(L62,0),h_IS_SEUIL)+h_IS_TAUX_NORMAL*MAX(L62-h_IS_SEUIL,0)</f>
        <v/>
      </c>
      <c r="M63" s="24">
        <f>h_IS_TAUX_REDUIT*MIN(MAX(M62,0),h_IS_SEUIL)+h_IS_TAUX_NORMAL*MAX(M62-h_IS_SEUIL,0)</f>
        <v/>
      </c>
      <c r="N63" s="24">
        <f>h_IS_TAUX_REDUIT*MIN(MAX(N62,0),h_IS_SEUIL)+h_IS_TAUX_NORMAL*MAX(N62-h_IS_SEUIL,0)</f>
        <v/>
      </c>
      <c r="O63" s="24">
        <f>h_IS_TAUX_REDUIT*MIN(MAX(O62,0),h_IS_SEUIL)+h_IS_TAUX_NORMAL*MAX(O62-h_IS_SEUIL,0)</f>
        <v/>
      </c>
      <c r="P63" s="24">
        <f>h_IS_TAUX_REDUIT*MIN(MAX(P62,0),h_IS_SEUIL)+h_IS_TAUX_NORMAL*MAX(P62-h_IS_SEUIL,0)</f>
        <v/>
      </c>
      <c r="Q63" s="24">
        <f>h_IS_TAUX_REDUIT*MIN(MAX(Q62,0),h_IS_SEUIL)+h_IS_TAUX_NORMAL*MAX(Q62-h_IS_SEUIL,0)</f>
        <v/>
      </c>
      <c r="R63" s="24">
        <f>h_IS_TAUX_REDUIT*MIN(MAX(R62,0),h_IS_SEUIL)+h_IS_TAUX_NORMAL*MAX(R62-h_IS_SEUIL,0)</f>
        <v/>
      </c>
      <c r="S63" s="24">
        <f>h_IS_TAUX_REDUIT*MIN(MAX(S62,0),h_IS_SEUIL)+h_IS_TAUX_NORMAL*MAX(S62-h_IS_SEUIL,0)</f>
        <v/>
      </c>
      <c r="T63" s="24">
        <f>h_IS_TAUX_REDUIT*MIN(MAX(T62,0),h_IS_SEUIL)+h_IS_TAUX_NORMAL*MAX(T62-h_IS_SEUIL,0)</f>
        <v/>
      </c>
    </row>
    <row r="64">
      <c r="A64" s="20" t="inlineStr">
        <is>
          <t>IS du mois (provision)</t>
        </is>
      </c>
      <c r="C64" s="24">
        <f>C63</f>
        <v/>
      </c>
      <c r="D64" s="24">
        <f>IF(D61=1,D63,D63-C63)</f>
        <v/>
      </c>
      <c r="E64" s="24">
        <f>IF(E61=1,E63,E63-D63)</f>
        <v/>
      </c>
      <c r="F64" s="24">
        <f>IF(F61=1,F63,F63-E63)</f>
        <v/>
      </c>
      <c r="G64" s="24">
        <f>IF(G61=1,G63,G63-F63)</f>
        <v/>
      </c>
      <c r="H64" s="24">
        <f>IF(H61=1,H63,H63-G63)</f>
        <v/>
      </c>
      <c r="I64" s="24">
        <f>IF(I61=1,I63,I63-H63)</f>
        <v/>
      </c>
      <c r="J64" s="24">
        <f>IF(J61=1,J63,J63-I63)</f>
        <v/>
      </c>
      <c r="K64" s="24">
        <f>IF(K61=1,K63,K63-J63)</f>
        <v/>
      </c>
      <c r="L64" s="24">
        <f>IF(L61=1,L63,L63-K63)</f>
        <v/>
      </c>
      <c r="M64" s="24">
        <f>IF(M61=1,M63,M63-L63)</f>
        <v/>
      </c>
      <c r="N64" s="24">
        <f>IF(N61=1,N63,N63-M63)</f>
        <v/>
      </c>
      <c r="O64" s="24">
        <f>IF(O61=1,O63,O63-N63)</f>
        <v/>
      </c>
      <c r="P64" s="24">
        <f>IF(P61=1,P63,P63-O63)</f>
        <v/>
      </c>
      <c r="Q64" s="24">
        <f>IF(Q61=1,Q63,Q63-P63)</f>
        <v/>
      </c>
      <c r="R64" s="24">
        <f>IF(R61=1,R63,R63-Q63)</f>
        <v/>
      </c>
      <c r="S64" s="24">
        <f>IF(S61=1,S63,S63-R63)</f>
        <v/>
      </c>
      <c r="T64" s="24">
        <f>IF(T61=1,T63,T63-S63)</f>
        <v/>
      </c>
      <c r="U64" s="25">
        <f>SUM(C64:T64)</f>
        <v/>
      </c>
    </row>
    <row r="65">
      <c r="A65" s="22" t="inlineStr">
        <is>
          <t>Résultat après IS</t>
        </is>
      </c>
      <c r="C65" s="25">
        <f>C58-C64</f>
        <v/>
      </c>
      <c r="D65" s="25">
        <f>D58-D64</f>
        <v/>
      </c>
      <c r="E65" s="25">
        <f>E58-E64</f>
        <v/>
      </c>
      <c r="F65" s="25">
        <f>F58-F64</f>
        <v/>
      </c>
      <c r="G65" s="25">
        <f>G58-G64</f>
        <v/>
      </c>
      <c r="H65" s="25">
        <f>H58-H64</f>
        <v/>
      </c>
      <c r="I65" s="25">
        <f>I58-I64</f>
        <v/>
      </c>
      <c r="J65" s="25">
        <f>J58-J64</f>
        <v/>
      </c>
      <c r="K65" s="25">
        <f>K58-K64</f>
        <v/>
      </c>
      <c r="L65" s="25">
        <f>L58-L64</f>
        <v/>
      </c>
      <c r="M65" s="25">
        <f>M58-M64</f>
        <v/>
      </c>
      <c r="N65" s="25">
        <f>N58-N64</f>
        <v/>
      </c>
      <c r="O65" s="25">
        <f>O58-O64</f>
        <v/>
      </c>
      <c r="P65" s="25">
        <f>P58-P64</f>
        <v/>
      </c>
      <c r="Q65" s="25">
        <f>Q58-Q64</f>
        <v/>
      </c>
      <c r="R65" s="25">
        <f>R58-R64</f>
        <v/>
      </c>
      <c r="S65" s="25">
        <f>S58-S64</f>
        <v/>
      </c>
      <c r="T65" s="25">
        <f>T58-T64</f>
        <v/>
      </c>
      <c r="U65" s="25">
        <f>SUM(C65:T65)</f>
        <v/>
      </c>
    </row>
    <row r="68">
      <c r="A68" s="4" t="inlineStr">
        <is>
          <t>Scénario optimiste — Vidéo virale en décembre avec du stock ; affiliés nombreux ; import groupé en juin 2027 ; publicité rentable à 14 € de CPA dès juillet 2027.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</row>
    <row r="69">
      <c r="A69" s="3" t="inlineStr">
        <is>
          <t>Ligne</t>
        </is>
      </c>
      <c r="B69" s="3" t="inlineStr"/>
      <c r="C69" s="3" t="inlineStr">
        <is>
          <t>oct. 2026</t>
        </is>
      </c>
      <c r="D69" s="3" t="inlineStr">
        <is>
          <t>nov. 2026</t>
        </is>
      </c>
      <c r="E69" s="3" t="inlineStr">
        <is>
          <t>déc. 2026</t>
        </is>
      </c>
      <c r="F69" s="3" t="inlineStr">
        <is>
          <t>janv. 2027</t>
        </is>
      </c>
      <c r="G69" s="3" t="inlineStr">
        <is>
          <t>févr. 2027</t>
        </is>
      </c>
      <c r="H69" s="3" t="inlineStr">
        <is>
          <t>mars 2027</t>
        </is>
      </c>
      <c r="I69" s="3" t="inlineStr">
        <is>
          <t>avr. 2027</t>
        </is>
      </c>
      <c r="J69" s="3" t="inlineStr">
        <is>
          <t>mai 2027</t>
        </is>
      </c>
      <c r="K69" s="3" t="inlineStr">
        <is>
          <t>juin 2027</t>
        </is>
      </c>
      <c r="L69" s="3" t="inlineStr">
        <is>
          <t>juil. 2027</t>
        </is>
      </c>
      <c r="M69" s="3" t="inlineStr">
        <is>
          <t>août 2027</t>
        </is>
      </c>
      <c r="N69" s="3" t="inlineStr">
        <is>
          <t>sept. 2027</t>
        </is>
      </c>
      <c r="O69" s="3" t="inlineStr">
        <is>
          <t>oct. 2027</t>
        </is>
      </c>
      <c r="P69" s="3" t="inlineStr">
        <is>
          <t>nov. 2027</t>
        </is>
      </c>
      <c r="Q69" s="3" t="inlineStr">
        <is>
          <t>déc. 2027</t>
        </is>
      </c>
      <c r="R69" s="3" t="inlineStr">
        <is>
          <t>janv. 2028</t>
        </is>
      </c>
      <c r="S69" s="3" t="inlineStr">
        <is>
          <t>févr. 2028</t>
        </is>
      </c>
      <c r="T69" s="3" t="inlineStr">
        <is>
          <t>mars 2028</t>
        </is>
      </c>
      <c r="U69" s="3" t="inlineStr">
        <is>
          <t>Total 18 mois</t>
        </is>
      </c>
    </row>
    <row r="70">
      <c r="A70" s="20" t="inlineStr">
        <is>
          <t>Exercice</t>
        </is>
      </c>
      <c r="C70">
        <f>'Hypothèses'!C186</f>
        <v/>
      </c>
      <c r="D70">
        <f>'Hypothèses'!D186</f>
        <v/>
      </c>
      <c r="E70">
        <f>'Hypothèses'!E186</f>
        <v/>
      </c>
      <c r="F70">
        <f>'Hypothèses'!F186</f>
        <v/>
      </c>
      <c r="G70">
        <f>'Hypothèses'!G186</f>
        <v/>
      </c>
      <c r="H70">
        <f>'Hypothèses'!H186</f>
        <v/>
      </c>
      <c r="I70">
        <f>'Hypothèses'!I186</f>
        <v/>
      </c>
      <c r="J70">
        <f>'Hypothèses'!J186</f>
        <v/>
      </c>
      <c r="K70">
        <f>'Hypothèses'!K186</f>
        <v/>
      </c>
      <c r="L70">
        <f>'Hypothèses'!L186</f>
        <v/>
      </c>
      <c r="M70">
        <f>'Hypothèses'!M186</f>
        <v/>
      </c>
      <c r="N70">
        <f>'Hypothèses'!N186</f>
        <v/>
      </c>
      <c r="O70">
        <f>'Hypothèses'!O186</f>
        <v/>
      </c>
      <c r="P70">
        <f>'Hypothèses'!P186</f>
        <v/>
      </c>
      <c r="Q70">
        <f>'Hypothèses'!Q186</f>
        <v/>
      </c>
      <c r="R70">
        <f>'Hypothèses'!R186</f>
        <v/>
      </c>
      <c r="S70">
        <f>'Hypothèses'!S186</f>
        <v/>
      </c>
      <c r="T70">
        <f>'Hypothèses'!T186</f>
        <v/>
      </c>
    </row>
    <row r="71">
      <c r="A71" s="20" t="inlineStr">
        <is>
          <t>Commandes site (organique)</t>
        </is>
      </c>
      <c r="C71" s="19">
        <f>'Hypothèses'!C187*'Hypothèses'!C188</f>
        <v/>
      </c>
      <c r="D71" s="19">
        <f>'Hypothèses'!D187*'Hypothèses'!D188</f>
        <v/>
      </c>
      <c r="E71" s="19">
        <f>'Hypothèses'!E187*'Hypothèses'!E188</f>
        <v/>
      </c>
      <c r="F71" s="19">
        <f>'Hypothèses'!F187*'Hypothèses'!F188</f>
        <v/>
      </c>
      <c r="G71" s="19">
        <f>'Hypothèses'!G187*'Hypothèses'!G188</f>
        <v/>
      </c>
      <c r="H71" s="19">
        <f>'Hypothèses'!H187*'Hypothèses'!H188</f>
        <v/>
      </c>
      <c r="I71" s="19">
        <f>'Hypothèses'!I187*'Hypothèses'!I188</f>
        <v/>
      </c>
      <c r="J71" s="19">
        <f>'Hypothèses'!J187*'Hypothèses'!J188</f>
        <v/>
      </c>
      <c r="K71" s="19">
        <f>'Hypothèses'!K187*'Hypothèses'!K188</f>
        <v/>
      </c>
      <c r="L71" s="19">
        <f>'Hypothèses'!L187*'Hypothèses'!L188</f>
        <v/>
      </c>
      <c r="M71" s="19">
        <f>'Hypothèses'!M187*'Hypothèses'!M188</f>
        <v/>
      </c>
      <c r="N71" s="19">
        <f>'Hypothèses'!N187*'Hypothèses'!N188</f>
        <v/>
      </c>
      <c r="O71" s="19">
        <f>'Hypothèses'!O187*'Hypothèses'!O188</f>
        <v/>
      </c>
      <c r="P71" s="19">
        <f>'Hypothèses'!P187*'Hypothèses'!P188</f>
        <v/>
      </c>
      <c r="Q71" s="19">
        <f>'Hypothèses'!Q187*'Hypothèses'!Q188</f>
        <v/>
      </c>
      <c r="R71" s="19">
        <f>'Hypothèses'!R187*'Hypothèses'!R188</f>
        <v/>
      </c>
      <c r="S71" s="19">
        <f>'Hypothèses'!S187*'Hypothèses'!S188</f>
        <v/>
      </c>
      <c r="T71" s="19">
        <f>'Hypothèses'!T187*'Hypothèses'!T188</f>
        <v/>
      </c>
      <c r="U71" s="21">
        <f>SUM(C71:T71)</f>
        <v/>
      </c>
    </row>
    <row r="72">
      <c r="A72" s="20" t="inlineStr">
        <is>
          <t>Commandes TikTok Shop, contenu propre</t>
        </is>
      </c>
      <c r="C72" s="19">
        <f>'Hypothèses'!C187*'Hypothèses'!C189</f>
        <v/>
      </c>
      <c r="D72" s="19">
        <f>'Hypothèses'!D187*'Hypothèses'!D189</f>
        <v/>
      </c>
      <c r="E72" s="19">
        <f>'Hypothèses'!E187*'Hypothèses'!E189</f>
        <v/>
      </c>
      <c r="F72" s="19">
        <f>'Hypothèses'!F187*'Hypothèses'!F189</f>
        <v/>
      </c>
      <c r="G72" s="19">
        <f>'Hypothèses'!G187*'Hypothèses'!G189</f>
        <v/>
      </c>
      <c r="H72" s="19">
        <f>'Hypothèses'!H187*'Hypothèses'!H189</f>
        <v/>
      </c>
      <c r="I72" s="19">
        <f>'Hypothèses'!I187*'Hypothèses'!I189</f>
        <v/>
      </c>
      <c r="J72" s="19">
        <f>'Hypothèses'!J187*'Hypothèses'!J189</f>
        <v/>
      </c>
      <c r="K72" s="19">
        <f>'Hypothèses'!K187*'Hypothèses'!K189</f>
        <v/>
      </c>
      <c r="L72" s="19">
        <f>'Hypothèses'!L187*'Hypothèses'!L189</f>
        <v/>
      </c>
      <c r="M72" s="19">
        <f>'Hypothèses'!M187*'Hypothèses'!M189</f>
        <v/>
      </c>
      <c r="N72" s="19">
        <f>'Hypothèses'!N187*'Hypothèses'!N189</f>
        <v/>
      </c>
      <c r="O72" s="19">
        <f>'Hypothèses'!O187*'Hypothèses'!O189</f>
        <v/>
      </c>
      <c r="P72" s="19">
        <f>'Hypothèses'!P187*'Hypothèses'!P189</f>
        <v/>
      </c>
      <c r="Q72" s="19">
        <f>'Hypothèses'!Q187*'Hypothèses'!Q189</f>
        <v/>
      </c>
      <c r="R72" s="19">
        <f>'Hypothèses'!R187*'Hypothèses'!R189</f>
        <v/>
      </c>
      <c r="S72" s="19">
        <f>'Hypothèses'!S187*'Hypothèses'!S189</f>
        <v/>
      </c>
      <c r="T72" s="19">
        <f>'Hypothèses'!T187*'Hypothèses'!T189</f>
        <v/>
      </c>
      <c r="U72" s="21">
        <f>SUM(C72:T72)</f>
        <v/>
      </c>
    </row>
    <row r="73">
      <c r="A73" s="20" t="inlineStr">
        <is>
          <t>Commandes TikTok Shop, affiliés</t>
        </is>
      </c>
      <c r="C73" s="19">
        <f>'Hypothèses'!C187*'Hypothèses'!C190</f>
        <v/>
      </c>
      <c r="D73" s="19">
        <f>'Hypothèses'!D187*'Hypothèses'!D190</f>
        <v/>
      </c>
      <c r="E73" s="19">
        <f>'Hypothèses'!E187*'Hypothèses'!E190</f>
        <v/>
      </c>
      <c r="F73" s="19">
        <f>'Hypothèses'!F187*'Hypothèses'!F190</f>
        <v/>
      </c>
      <c r="G73" s="19">
        <f>'Hypothèses'!G187*'Hypothèses'!G190</f>
        <v/>
      </c>
      <c r="H73" s="19">
        <f>'Hypothèses'!H187*'Hypothèses'!H190</f>
        <v/>
      </c>
      <c r="I73" s="19">
        <f>'Hypothèses'!I187*'Hypothèses'!I190</f>
        <v/>
      </c>
      <c r="J73" s="19">
        <f>'Hypothèses'!J187*'Hypothèses'!J190</f>
        <v/>
      </c>
      <c r="K73" s="19">
        <f>'Hypothèses'!K187*'Hypothèses'!K190</f>
        <v/>
      </c>
      <c r="L73" s="19">
        <f>'Hypothèses'!L187*'Hypothèses'!L190</f>
        <v/>
      </c>
      <c r="M73" s="19">
        <f>'Hypothèses'!M187*'Hypothèses'!M190</f>
        <v/>
      </c>
      <c r="N73" s="19">
        <f>'Hypothèses'!N187*'Hypothèses'!N190</f>
        <v/>
      </c>
      <c r="O73" s="19">
        <f>'Hypothèses'!O187*'Hypothèses'!O190</f>
        <v/>
      </c>
      <c r="P73" s="19">
        <f>'Hypothèses'!P187*'Hypothèses'!P190</f>
        <v/>
      </c>
      <c r="Q73" s="19">
        <f>'Hypothèses'!Q187*'Hypothèses'!Q190</f>
        <v/>
      </c>
      <c r="R73" s="19">
        <f>'Hypothèses'!R187*'Hypothèses'!R190</f>
        <v/>
      </c>
      <c r="S73" s="19">
        <f>'Hypothèses'!S187*'Hypothèses'!S190</f>
        <v/>
      </c>
      <c r="T73" s="19">
        <f>'Hypothèses'!T187*'Hypothèses'!T190</f>
        <v/>
      </c>
      <c r="U73" s="21">
        <f>SUM(C73:T73)</f>
        <v/>
      </c>
    </row>
    <row r="74">
      <c r="A74" s="20" t="inlineStr">
        <is>
          <t>Commandes issues de la publicité</t>
        </is>
      </c>
      <c r="C74" s="19">
        <f>IF('Hypothèses'!C194&gt;0,'Hypothèses'!C193/'Hypothèses'!C194,0)</f>
        <v/>
      </c>
      <c r="D74" s="19">
        <f>IF('Hypothèses'!D194&gt;0,'Hypothèses'!D193/'Hypothèses'!D194,0)</f>
        <v/>
      </c>
      <c r="E74" s="19">
        <f>IF('Hypothèses'!E194&gt;0,'Hypothèses'!E193/'Hypothèses'!E194,0)</f>
        <v/>
      </c>
      <c r="F74" s="19">
        <f>IF('Hypothèses'!F194&gt;0,'Hypothèses'!F193/'Hypothèses'!F194,0)</f>
        <v/>
      </c>
      <c r="G74" s="19">
        <f>IF('Hypothèses'!G194&gt;0,'Hypothèses'!G193/'Hypothèses'!G194,0)</f>
        <v/>
      </c>
      <c r="H74" s="19">
        <f>IF('Hypothèses'!H194&gt;0,'Hypothèses'!H193/'Hypothèses'!H194,0)</f>
        <v/>
      </c>
      <c r="I74" s="19">
        <f>IF('Hypothèses'!I194&gt;0,'Hypothèses'!I193/'Hypothèses'!I194,0)</f>
        <v/>
      </c>
      <c r="J74" s="19">
        <f>IF('Hypothèses'!J194&gt;0,'Hypothèses'!J193/'Hypothèses'!J194,0)</f>
        <v/>
      </c>
      <c r="K74" s="19">
        <f>IF('Hypothèses'!K194&gt;0,'Hypothèses'!K193/'Hypothèses'!K194,0)</f>
        <v/>
      </c>
      <c r="L74" s="19">
        <f>IF('Hypothèses'!L194&gt;0,'Hypothèses'!L193/'Hypothèses'!L194,0)</f>
        <v/>
      </c>
      <c r="M74" s="19">
        <f>IF('Hypothèses'!M194&gt;0,'Hypothèses'!M193/'Hypothèses'!M194,0)</f>
        <v/>
      </c>
      <c r="N74" s="19">
        <f>IF('Hypothèses'!N194&gt;0,'Hypothèses'!N193/'Hypothèses'!N194,0)</f>
        <v/>
      </c>
      <c r="O74" s="19">
        <f>IF('Hypothèses'!O194&gt;0,'Hypothèses'!O193/'Hypothèses'!O194,0)</f>
        <v/>
      </c>
      <c r="P74" s="19">
        <f>IF('Hypothèses'!P194&gt;0,'Hypothèses'!P193/'Hypothèses'!P194,0)</f>
        <v/>
      </c>
      <c r="Q74" s="19">
        <f>IF('Hypothèses'!Q194&gt;0,'Hypothèses'!Q193/'Hypothèses'!Q194,0)</f>
        <v/>
      </c>
      <c r="R74" s="19">
        <f>IF('Hypothèses'!R194&gt;0,'Hypothèses'!R193/'Hypothèses'!R194,0)</f>
        <v/>
      </c>
      <c r="S74" s="19">
        <f>IF('Hypothèses'!S194&gt;0,'Hypothèses'!S193/'Hypothèses'!S194,0)</f>
        <v/>
      </c>
      <c r="T74" s="19">
        <f>IF('Hypothèses'!T194&gt;0,'Hypothèses'!T193/'Hypothèses'!T194,0)</f>
        <v/>
      </c>
      <c r="U74" s="21">
        <f>SUM(C74:T74)</f>
        <v/>
      </c>
    </row>
    <row r="75">
      <c r="A75" s="22" t="inlineStr">
        <is>
          <t>Commandes totales</t>
        </is>
      </c>
      <c r="C75" s="23">
        <f>C71+C72+C73+C74</f>
        <v/>
      </c>
      <c r="D75" s="23">
        <f>D71+D72+D73+D74</f>
        <v/>
      </c>
      <c r="E75" s="23">
        <f>E71+E72+E73+E74</f>
        <v/>
      </c>
      <c r="F75" s="23">
        <f>F71+F72+F73+F74</f>
        <v/>
      </c>
      <c r="G75" s="23">
        <f>G71+G72+G73+G74</f>
        <v/>
      </c>
      <c r="H75" s="23">
        <f>H71+H72+H73+H74</f>
        <v/>
      </c>
      <c r="I75" s="23">
        <f>I71+I72+I73+I74</f>
        <v/>
      </c>
      <c r="J75" s="23">
        <f>J71+J72+J73+J74</f>
        <v/>
      </c>
      <c r="K75" s="23">
        <f>K71+K72+K73+K74</f>
        <v/>
      </c>
      <c r="L75" s="23">
        <f>L71+L72+L73+L74</f>
        <v/>
      </c>
      <c r="M75" s="23">
        <f>M71+M72+M73+M74</f>
        <v/>
      </c>
      <c r="N75" s="23">
        <f>N71+N72+N73+N74</f>
        <v/>
      </c>
      <c r="O75" s="23">
        <f>O71+O72+O73+O74</f>
        <v/>
      </c>
      <c r="P75" s="23">
        <f>P71+P72+P73+P74</f>
        <v/>
      </c>
      <c r="Q75" s="23">
        <f>Q71+Q72+Q73+Q74</f>
        <v/>
      </c>
      <c r="R75" s="23">
        <f>R71+R72+R73+R74</f>
        <v/>
      </c>
      <c r="S75" s="23">
        <f>S71+S72+S73+S74</f>
        <v/>
      </c>
      <c r="T75" s="23">
        <f>T71+T72+T73+T74</f>
        <v/>
      </c>
      <c r="U75" s="23">
        <f>SUM(C75:T75)</f>
        <v/>
      </c>
    </row>
    <row r="76">
      <c r="A76" s="20" t="inlineStr">
        <is>
          <t>Commandes par jour</t>
        </is>
      </c>
      <c r="C76" s="19">
        <f>C75/30</f>
        <v/>
      </c>
      <c r="D76" s="19">
        <f>D75/30</f>
        <v/>
      </c>
      <c r="E76" s="19">
        <f>E75/30</f>
        <v/>
      </c>
      <c r="F76" s="19">
        <f>F75/30</f>
        <v/>
      </c>
      <c r="G76" s="19">
        <f>G75/30</f>
        <v/>
      </c>
      <c r="H76" s="19">
        <f>H75/30</f>
        <v/>
      </c>
      <c r="I76" s="19">
        <f>I75/30</f>
        <v/>
      </c>
      <c r="J76" s="19">
        <f>J75/30</f>
        <v/>
      </c>
      <c r="K76" s="19">
        <f>K75/30</f>
        <v/>
      </c>
      <c r="L76" s="19">
        <f>L75/30</f>
        <v/>
      </c>
      <c r="M76" s="19">
        <f>M75/30</f>
        <v/>
      </c>
      <c r="N76" s="19">
        <f>N75/30</f>
        <v/>
      </c>
      <c r="O76" s="19">
        <f>O75/30</f>
        <v/>
      </c>
      <c r="P76" s="19">
        <f>P75/30</f>
        <v/>
      </c>
      <c r="Q76" s="19">
        <f>Q75/30</f>
        <v/>
      </c>
      <c r="R76" s="19">
        <f>R75/30</f>
        <v/>
      </c>
      <c r="S76" s="19">
        <f>S75/30</f>
        <v/>
      </c>
      <c r="T76" s="19">
        <f>T75/30</f>
        <v/>
      </c>
    </row>
    <row r="77">
      <c r="A77" s="20" t="inlineStr">
        <is>
          <t>CA TTC</t>
        </is>
      </c>
      <c r="C77" s="24">
        <f>C71*ue_SITE_TTC+(C72+C73)*ue_TTS_TTC+C74*ue_PUB_TTC</f>
        <v/>
      </c>
      <c r="D77" s="24">
        <f>D71*ue_SITE_TTC+(D72+D73)*ue_TTS_TTC+D74*ue_PUB_TTC</f>
        <v/>
      </c>
      <c r="E77" s="24">
        <f>E71*ue_SITE_TTC+(E72+E73)*ue_TTS_TTC+E74*ue_PUB_TTC</f>
        <v/>
      </c>
      <c r="F77" s="24">
        <f>F71*ue_SITE_TTC+(F72+F73)*ue_TTS_TTC+F74*ue_PUB_TTC</f>
        <v/>
      </c>
      <c r="G77" s="24">
        <f>G71*ue_SITE_TTC+(G72+G73)*ue_TTS_TTC+G74*ue_PUB_TTC</f>
        <v/>
      </c>
      <c r="H77" s="24">
        <f>H71*ue_SITE_TTC+(H72+H73)*ue_TTS_TTC+H74*ue_PUB_TTC</f>
        <v/>
      </c>
      <c r="I77" s="24">
        <f>I71*ue_SITE_TTC+(I72+I73)*ue_TTS_TTC+I74*ue_PUB_TTC</f>
        <v/>
      </c>
      <c r="J77" s="24">
        <f>J71*ue_SITE_TTC+(J72+J73)*ue_TTS_TTC+J74*ue_PUB_TTC</f>
        <v/>
      </c>
      <c r="K77" s="24">
        <f>K71*ue_SITE_TTC+(K72+K73)*ue_TTS_TTC+K74*ue_PUB_TTC</f>
        <v/>
      </c>
      <c r="L77" s="24">
        <f>L71*ue_SITE_TTC+(L72+L73)*ue_TTS_TTC+L74*ue_PUB_TTC</f>
        <v/>
      </c>
      <c r="M77" s="24">
        <f>M71*ue_SITE_TTC+(M72+M73)*ue_TTS_TTC+M74*ue_PUB_TTC</f>
        <v/>
      </c>
      <c r="N77" s="24">
        <f>N71*ue_SITE_TTC+(N72+N73)*ue_TTS_TTC+N74*ue_PUB_TTC</f>
        <v/>
      </c>
      <c r="O77" s="24">
        <f>O71*ue_SITE_TTC+(O72+O73)*ue_TTS_TTC+O74*ue_PUB_TTC</f>
        <v/>
      </c>
      <c r="P77" s="24">
        <f>P71*ue_SITE_TTC+(P72+P73)*ue_TTS_TTC+P74*ue_PUB_TTC</f>
        <v/>
      </c>
      <c r="Q77" s="24">
        <f>Q71*ue_SITE_TTC+(Q72+Q73)*ue_TTS_TTC+Q74*ue_PUB_TTC</f>
        <v/>
      </c>
      <c r="R77" s="24">
        <f>R71*ue_SITE_TTC+(R72+R73)*ue_TTS_TTC+R74*ue_PUB_TTC</f>
        <v/>
      </c>
      <c r="S77" s="24">
        <f>S71*ue_SITE_TTC+(S72+S73)*ue_TTS_TTC+S74*ue_PUB_TTC</f>
        <v/>
      </c>
      <c r="T77" s="24">
        <f>T71*ue_SITE_TTC+(T72+T73)*ue_TTS_TTC+T74*ue_PUB_TTC</f>
        <v/>
      </c>
      <c r="U77" s="25">
        <f>SUM(C77:T77)</f>
        <v/>
      </c>
    </row>
    <row r="78">
      <c r="A78" s="22" t="inlineStr">
        <is>
          <t>CA HT</t>
        </is>
      </c>
      <c r="C78" s="25">
        <f>C77/(1+h_TVA)</f>
        <v/>
      </c>
      <c r="D78" s="25">
        <f>D77/(1+h_TVA)</f>
        <v/>
      </c>
      <c r="E78" s="25">
        <f>E77/(1+h_TVA)</f>
        <v/>
      </c>
      <c r="F78" s="25">
        <f>F77/(1+h_TVA)</f>
        <v/>
      </c>
      <c r="G78" s="25">
        <f>G77/(1+h_TVA)</f>
        <v/>
      </c>
      <c r="H78" s="25">
        <f>H77/(1+h_TVA)</f>
        <v/>
      </c>
      <c r="I78" s="25">
        <f>I77/(1+h_TVA)</f>
        <v/>
      </c>
      <c r="J78" s="25">
        <f>J77/(1+h_TVA)</f>
        <v/>
      </c>
      <c r="K78" s="25">
        <f>K77/(1+h_TVA)</f>
        <v/>
      </c>
      <c r="L78" s="25">
        <f>L77/(1+h_TVA)</f>
        <v/>
      </c>
      <c r="M78" s="25">
        <f>M77/(1+h_TVA)</f>
        <v/>
      </c>
      <c r="N78" s="25">
        <f>N77/(1+h_TVA)</f>
        <v/>
      </c>
      <c r="O78" s="25">
        <f>O77/(1+h_TVA)</f>
        <v/>
      </c>
      <c r="P78" s="25">
        <f>P77/(1+h_TVA)</f>
        <v/>
      </c>
      <c r="Q78" s="25">
        <f>Q77/(1+h_TVA)</f>
        <v/>
      </c>
      <c r="R78" s="25">
        <f>R77/(1+h_TVA)</f>
        <v/>
      </c>
      <c r="S78" s="25">
        <f>S77/(1+h_TVA)</f>
        <v/>
      </c>
      <c r="T78" s="25">
        <f>T77/(1+h_TVA)</f>
        <v/>
      </c>
      <c r="U78" s="25">
        <f>SUM(C78:T78)</f>
        <v/>
      </c>
    </row>
    <row r="79">
      <c r="A79" s="20" t="inlineStr">
        <is>
          <t>TVA collectée</t>
        </is>
      </c>
      <c r="C79" s="24">
        <f>C77-C78</f>
        <v/>
      </c>
      <c r="D79" s="24">
        <f>D77-D78</f>
        <v/>
      </c>
      <c r="E79" s="24">
        <f>E77-E78</f>
        <v/>
      </c>
      <c r="F79" s="24">
        <f>F77-F78</f>
        <v/>
      </c>
      <c r="G79" s="24">
        <f>G77-G78</f>
        <v/>
      </c>
      <c r="H79" s="24">
        <f>H77-H78</f>
        <v/>
      </c>
      <c r="I79" s="24">
        <f>I77-I78</f>
        <v/>
      </c>
      <c r="J79" s="24">
        <f>J77-J78</f>
        <v/>
      </c>
      <c r="K79" s="24">
        <f>K77-K78</f>
        <v/>
      </c>
      <c r="L79" s="24">
        <f>L77-L78</f>
        <v/>
      </c>
      <c r="M79" s="24">
        <f>M77-M78</f>
        <v/>
      </c>
      <c r="N79" s="24">
        <f>N77-N78</f>
        <v/>
      </c>
      <c r="O79" s="24">
        <f>O77-O78</f>
        <v/>
      </c>
      <c r="P79" s="24">
        <f>P77-P78</f>
        <v/>
      </c>
      <c r="Q79" s="24">
        <f>Q77-Q78</f>
        <v/>
      </c>
      <c r="R79" s="24">
        <f>R77-R78</f>
        <v/>
      </c>
      <c r="S79" s="24">
        <f>S77-S78</f>
        <v/>
      </c>
      <c r="T79" s="24">
        <f>T77-T78</f>
        <v/>
      </c>
      <c r="U79" s="25">
        <f>SUM(C79:T79)</f>
        <v/>
      </c>
    </row>
    <row r="80">
      <c r="A80" s="20" t="inlineStr">
        <is>
          <t>Coût des produits et droits</t>
        </is>
      </c>
      <c r="C80" s="24">
        <f>C71*IF('Hypothèses'!C192=1,ue_SITE_PROD_IMP,ue_SITE_PROD_MS)+(C72+C73)*IF('Hypothèses'!C192=1,ue_TTS_PROD_IMP,ue_TTS_PROD_MS)+C74*IF('Hypothèses'!C192=1,ue_PUB_PROD_IMP,ue_PUB_PROD_MS)</f>
        <v/>
      </c>
      <c r="D80" s="24">
        <f>D71*IF('Hypothèses'!D192=1,ue_SITE_PROD_IMP,ue_SITE_PROD_MS)+(D72+D73)*IF('Hypothèses'!D192=1,ue_TTS_PROD_IMP,ue_TTS_PROD_MS)+D74*IF('Hypothèses'!D192=1,ue_PUB_PROD_IMP,ue_PUB_PROD_MS)</f>
        <v/>
      </c>
      <c r="E80" s="24">
        <f>E71*IF('Hypothèses'!E192=1,ue_SITE_PROD_IMP,ue_SITE_PROD_MS)+(E72+E73)*IF('Hypothèses'!E192=1,ue_TTS_PROD_IMP,ue_TTS_PROD_MS)+E74*IF('Hypothèses'!E192=1,ue_PUB_PROD_IMP,ue_PUB_PROD_MS)</f>
        <v/>
      </c>
      <c r="F80" s="24">
        <f>F71*IF('Hypothèses'!F192=1,ue_SITE_PROD_IMP,ue_SITE_PROD_MS)+(F72+F73)*IF('Hypothèses'!F192=1,ue_TTS_PROD_IMP,ue_TTS_PROD_MS)+F74*IF('Hypothèses'!F192=1,ue_PUB_PROD_IMP,ue_PUB_PROD_MS)</f>
        <v/>
      </c>
      <c r="G80" s="24">
        <f>G71*IF('Hypothèses'!G192=1,ue_SITE_PROD_IMP,ue_SITE_PROD_MS)+(G72+G73)*IF('Hypothèses'!G192=1,ue_TTS_PROD_IMP,ue_TTS_PROD_MS)+G74*IF('Hypothèses'!G192=1,ue_PUB_PROD_IMP,ue_PUB_PROD_MS)</f>
        <v/>
      </c>
      <c r="H80" s="24">
        <f>H71*IF('Hypothèses'!H192=1,ue_SITE_PROD_IMP,ue_SITE_PROD_MS)+(H72+H73)*IF('Hypothèses'!H192=1,ue_TTS_PROD_IMP,ue_TTS_PROD_MS)+H74*IF('Hypothèses'!H192=1,ue_PUB_PROD_IMP,ue_PUB_PROD_MS)</f>
        <v/>
      </c>
      <c r="I80" s="24">
        <f>I71*IF('Hypothèses'!I192=1,ue_SITE_PROD_IMP,ue_SITE_PROD_MS)+(I72+I73)*IF('Hypothèses'!I192=1,ue_TTS_PROD_IMP,ue_TTS_PROD_MS)+I74*IF('Hypothèses'!I192=1,ue_PUB_PROD_IMP,ue_PUB_PROD_MS)</f>
        <v/>
      </c>
      <c r="J80" s="24">
        <f>J71*IF('Hypothèses'!J192=1,ue_SITE_PROD_IMP,ue_SITE_PROD_MS)+(J72+J73)*IF('Hypothèses'!J192=1,ue_TTS_PROD_IMP,ue_TTS_PROD_MS)+J74*IF('Hypothèses'!J192=1,ue_PUB_PROD_IMP,ue_PUB_PROD_MS)</f>
        <v/>
      </c>
      <c r="K80" s="24">
        <f>K71*IF('Hypothèses'!K192=1,ue_SITE_PROD_IMP,ue_SITE_PROD_MS)+(K72+K73)*IF('Hypothèses'!K192=1,ue_TTS_PROD_IMP,ue_TTS_PROD_MS)+K74*IF('Hypothèses'!K192=1,ue_PUB_PROD_IMP,ue_PUB_PROD_MS)</f>
        <v/>
      </c>
      <c r="L80" s="24">
        <f>L71*IF('Hypothèses'!L192=1,ue_SITE_PROD_IMP,ue_SITE_PROD_MS)+(L72+L73)*IF('Hypothèses'!L192=1,ue_TTS_PROD_IMP,ue_TTS_PROD_MS)+L74*IF('Hypothèses'!L192=1,ue_PUB_PROD_IMP,ue_PUB_PROD_MS)</f>
        <v/>
      </c>
      <c r="M80" s="24">
        <f>M71*IF('Hypothèses'!M192=1,ue_SITE_PROD_IMP,ue_SITE_PROD_MS)+(M72+M73)*IF('Hypothèses'!M192=1,ue_TTS_PROD_IMP,ue_TTS_PROD_MS)+M74*IF('Hypothèses'!M192=1,ue_PUB_PROD_IMP,ue_PUB_PROD_MS)</f>
        <v/>
      </c>
      <c r="N80" s="24">
        <f>N71*IF('Hypothèses'!N192=1,ue_SITE_PROD_IMP,ue_SITE_PROD_MS)+(N72+N73)*IF('Hypothèses'!N192=1,ue_TTS_PROD_IMP,ue_TTS_PROD_MS)+N74*IF('Hypothèses'!N192=1,ue_PUB_PROD_IMP,ue_PUB_PROD_MS)</f>
        <v/>
      </c>
      <c r="O80" s="24">
        <f>O71*IF('Hypothèses'!O192=1,ue_SITE_PROD_IMP,ue_SITE_PROD_MS)+(O72+O73)*IF('Hypothèses'!O192=1,ue_TTS_PROD_IMP,ue_TTS_PROD_MS)+O74*IF('Hypothèses'!O192=1,ue_PUB_PROD_IMP,ue_PUB_PROD_MS)</f>
        <v/>
      </c>
      <c r="P80" s="24">
        <f>P71*IF('Hypothèses'!P192=1,ue_SITE_PROD_IMP,ue_SITE_PROD_MS)+(P72+P73)*IF('Hypothèses'!P192=1,ue_TTS_PROD_IMP,ue_TTS_PROD_MS)+P74*IF('Hypothèses'!P192=1,ue_PUB_PROD_IMP,ue_PUB_PROD_MS)</f>
        <v/>
      </c>
      <c r="Q80" s="24">
        <f>Q71*IF('Hypothèses'!Q192=1,ue_SITE_PROD_IMP,ue_SITE_PROD_MS)+(Q72+Q73)*IF('Hypothèses'!Q192=1,ue_TTS_PROD_IMP,ue_TTS_PROD_MS)+Q74*IF('Hypothèses'!Q192=1,ue_PUB_PROD_IMP,ue_PUB_PROD_MS)</f>
        <v/>
      </c>
      <c r="R80" s="24">
        <f>R71*IF('Hypothèses'!R192=1,ue_SITE_PROD_IMP,ue_SITE_PROD_MS)+(R72+R73)*IF('Hypothèses'!R192=1,ue_TTS_PROD_IMP,ue_TTS_PROD_MS)+R74*IF('Hypothèses'!R192=1,ue_PUB_PROD_IMP,ue_PUB_PROD_MS)</f>
        <v/>
      </c>
      <c r="S80" s="24">
        <f>S71*IF('Hypothèses'!S192=1,ue_SITE_PROD_IMP,ue_SITE_PROD_MS)+(S72+S73)*IF('Hypothèses'!S192=1,ue_TTS_PROD_IMP,ue_TTS_PROD_MS)+S74*IF('Hypothèses'!S192=1,ue_PUB_PROD_IMP,ue_PUB_PROD_MS)</f>
        <v/>
      </c>
      <c r="T80" s="24">
        <f>T71*IF('Hypothèses'!T192=1,ue_SITE_PROD_IMP,ue_SITE_PROD_MS)+(T72+T73)*IF('Hypothèses'!T192=1,ue_TTS_PROD_IMP,ue_TTS_PROD_MS)+T74*IF('Hypothèses'!T192=1,ue_PUB_PROD_IMP,ue_PUB_PROD_MS)</f>
        <v/>
      </c>
      <c r="U80" s="25">
        <f>SUM(C80:T80)</f>
        <v/>
      </c>
    </row>
    <row r="81">
      <c r="A81" s="20" t="inlineStr">
        <is>
          <t>Livraison, emballage, 3PL</t>
        </is>
      </c>
      <c r="C81" s="24">
        <f>C71*IF('Hypothèses'!C192=1,ue_SITE_LOG_IMP,ue_SITE_LOG_MS)+(C72+C73)*IF('Hypothèses'!C192=1,ue_TTS_LOG_IMP,ue_TTS_LOG_MS)+C74*IF('Hypothèses'!C192=1,ue_PUB_LOG_IMP,ue_PUB_LOG_MS)</f>
        <v/>
      </c>
      <c r="D81" s="24">
        <f>D71*IF('Hypothèses'!D192=1,ue_SITE_LOG_IMP,ue_SITE_LOG_MS)+(D72+D73)*IF('Hypothèses'!D192=1,ue_TTS_LOG_IMP,ue_TTS_LOG_MS)+D74*IF('Hypothèses'!D192=1,ue_PUB_LOG_IMP,ue_PUB_LOG_MS)</f>
        <v/>
      </c>
      <c r="E81" s="24">
        <f>E71*IF('Hypothèses'!E192=1,ue_SITE_LOG_IMP,ue_SITE_LOG_MS)+(E72+E73)*IF('Hypothèses'!E192=1,ue_TTS_LOG_IMP,ue_TTS_LOG_MS)+E74*IF('Hypothèses'!E192=1,ue_PUB_LOG_IMP,ue_PUB_LOG_MS)</f>
        <v/>
      </c>
      <c r="F81" s="24">
        <f>F71*IF('Hypothèses'!F192=1,ue_SITE_LOG_IMP,ue_SITE_LOG_MS)+(F72+F73)*IF('Hypothèses'!F192=1,ue_TTS_LOG_IMP,ue_TTS_LOG_MS)+F74*IF('Hypothèses'!F192=1,ue_PUB_LOG_IMP,ue_PUB_LOG_MS)</f>
        <v/>
      </c>
      <c r="G81" s="24">
        <f>G71*IF('Hypothèses'!G192=1,ue_SITE_LOG_IMP,ue_SITE_LOG_MS)+(G72+G73)*IF('Hypothèses'!G192=1,ue_TTS_LOG_IMP,ue_TTS_LOG_MS)+G74*IF('Hypothèses'!G192=1,ue_PUB_LOG_IMP,ue_PUB_LOG_MS)</f>
        <v/>
      </c>
      <c r="H81" s="24">
        <f>H71*IF('Hypothèses'!H192=1,ue_SITE_LOG_IMP,ue_SITE_LOG_MS)+(H72+H73)*IF('Hypothèses'!H192=1,ue_TTS_LOG_IMP,ue_TTS_LOG_MS)+H74*IF('Hypothèses'!H192=1,ue_PUB_LOG_IMP,ue_PUB_LOG_MS)</f>
        <v/>
      </c>
      <c r="I81" s="24">
        <f>I71*IF('Hypothèses'!I192=1,ue_SITE_LOG_IMP,ue_SITE_LOG_MS)+(I72+I73)*IF('Hypothèses'!I192=1,ue_TTS_LOG_IMP,ue_TTS_LOG_MS)+I74*IF('Hypothèses'!I192=1,ue_PUB_LOG_IMP,ue_PUB_LOG_MS)</f>
        <v/>
      </c>
      <c r="J81" s="24">
        <f>J71*IF('Hypothèses'!J192=1,ue_SITE_LOG_IMP,ue_SITE_LOG_MS)+(J72+J73)*IF('Hypothèses'!J192=1,ue_TTS_LOG_IMP,ue_TTS_LOG_MS)+J74*IF('Hypothèses'!J192=1,ue_PUB_LOG_IMP,ue_PUB_LOG_MS)</f>
        <v/>
      </c>
      <c r="K81" s="24">
        <f>K71*IF('Hypothèses'!K192=1,ue_SITE_LOG_IMP,ue_SITE_LOG_MS)+(K72+K73)*IF('Hypothèses'!K192=1,ue_TTS_LOG_IMP,ue_TTS_LOG_MS)+K74*IF('Hypothèses'!K192=1,ue_PUB_LOG_IMP,ue_PUB_LOG_MS)</f>
        <v/>
      </c>
      <c r="L81" s="24">
        <f>L71*IF('Hypothèses'!L192=1,ue_SITE_LOG_IMP,ue_SITE_LOG_MS)+(L72+L73)*IF('Hypothèses'!L192=1,ue_TTS_LOG_IMP,ue_TTS_LOG_MS)+L74*IF('Hypothèses'!L192=1,ue_PUB_LOG_IMP,ue_PUB_LOG_MS)</f>
        <v/>
      </c>
      <c r="M81" s="24">
        <f>M71*IF('Hypothèses'!M192=1,ue_SITE_LOG_IMP,ue_SITE_LOG_MS)+(M72+M73)*IF('Hypothèses'!M192=1,ue_TTS_LOG_IMP,ue_TTS_LOG_MS)+M74*IF('Hypothèses'!M192=1,ue_PUB_LOG_IMP,ue_PUB_LOG_MS)</f>
        <v/>
      </c>
      <c r="N81" s="24">
        <f>N71*IF('Hypothèses'!N192=1,ue_SITE_LOG_IMP,ue_SITE_LOG_MS)+(N72+N73)*IF('Hypothèses'!N192=1,ue_TTS_LOG_IMP,ue_TTS_LOG_MS)+N74*IF('Hypothèses'!N192=1,ue_PUB_LOG_IMP,ue_PUB_LOG_MS)</f>
        <v/>
      </c>
      <c r="O81" s="24">
        <f>O71*IF('Hypothèses'!O192=1,ue_SITE_LOG_IMP,ue_SITE_LOG_MS)+(O72+O73)*IF('Hypothèses'!O192=1,ue_TTS_LOG_IMP,ue_TTS_LOG_MS)+O74*IF('Hypothèses'!O192=1,ue_PUB_LOG_IMP,ue_PUB_LOG_MS)</f>
        <v/>
      </c>
      <c r="P81" s="24">
        <f>P71*IF('Hypothèses'!P192=1,ue_SITE_LOG_IMP,ue_SITE_LOG_MS)+(P72+P73)*IF('Hypothèses'!P192=1,ue_TTS_LOG_IMP,ue_TTS_LOG_MS)+P74*IF('Hypothèses'!P192=1,ue_PUB_LOG_IMP,ue_PUB_LOG_MS)</f>
        <v/>
      </c>
      <c r="Q81" s="24">
        <f>Q71*IF('Hypothèses'!Q192=1,ue_SITE_LOG_IMP,ue_SITE_LOG_MS)+(Q72+Q73)*IF('Hypothèses'!Q192=1,ue_TTS_LOG_IMP,ue_TTS_LOG_MS)+Q74*IF('Hypothèses'!Q192=1,ue_PUB_LOG_IMP,ue_PUB_LOG_MS)</f>
        <v/>
      </c>
      <c r="R81" s="24">
        <f>R71*IF('Hypothèses'!R192=1,ue_SITE_LOG_IMP,ue_SITE_LOG_MS)+(R72+R73)*IF('Hypothèses'!R192=1,ue_TTS_LOG_IMP,ue_TTS_LOG_MS)+R74*IF('Hypothèses'!R192=1,ue_PUB_LOG_IMP,ue_PUB_LOG_MS)</f>
        <v/>
      </c>
      <c r="S81" s="24">
        <f>S71*IF('Hypothèses'!S192=1,ue_SITE_LOG_IMP,ue_SITE_LOG_MS)+(S72+S73)*IF('Hypothèses'!S192=1,ue_TTS_LOG_IMP,ue_TTS_LOG_MS)+S74*IF('Hypothèses'!S192=1,ue_PUB_LOG_IMP,ue_PUB_LOG_MS)</f>
        <v/>
      </c>
      <c r="T81" s="24">
        <f>T71*IF('Hypothèses'!T192=1,ue_SITE_LOG_IMP,ue_SITE_LOG_MS)+(T72+T73)*IF('Hypothèses'!T192=1,ue_TTS_LOG_IMP,ue_TTS_LOG_MS)+T74*IF('Hypothèses'!T192=1,ue_PUB_LOG_IMP,ue_PUB_LOG_MS)</f>
        <v/>
      </c>
      <c r="U81" s="25">
        <f>SUM(C81:T81)</f>
        <v/>
      </c>
    </row>
    <row r="82">
      <c r="A82" s="20" t="inlineStr">
        <is>
          <t>Frais de paiement</t>
        </is>
      </c>
      <c r="C82" s="24">
        <f>C71*ue_SITE_PAY+C74*ue_PUB_PAY</f>
        <v/>
      </c>
      <c r="D82" s="24">
        <f>D71*ue_SITE_PAY+D74*ue_PUB_PAY</f>
        <v/>
      </c>
      <c r="E82" s="24">
        <f>E71*ue_SITE_PAY+E74*ue_PUB_PAY</f>
        <v/>
      </c>
      <c r="F82" s="24">
        <f>F71*ue_SITE_PAY+F74*ue_PUB_PAY</f>
        <v/>
      </c>
      <c r="G82" s="24">
        <f>G71*ue_SITE_PAY+G74*ue_PUB_PAY</f>
        <v/>
      </c>
      <c r="H82" s="24">
        <f>H71*ue_SITE_PAY+H74*ue_PUB_PAY</f>
        <v/>
      </c>
      <c r="I82" s="24">
        <f>I71*ue_SITE_PAY+I74*ue_PUB_PAY</f>
        <v/>
      </c>
      <c r="J82" s="24">
        <f>J71*ue_SITE_PAY+J74*ue_PUB_PAY</f>
        <v/>
      </c>
      <c r="K82" s="24">
        <f>K71*ue_SITE_PAY+K74*ue_PUB_PAY</f>
        <v/>
      </c>
      <c r="L82" s="24">
        <f>L71*ue_SITE_PAY+L74*ue_PUB_PAY</f>
        <v/>
      </c>
      <c r="M82" s="24">
        <f>M71*ue_SITE_PAY+M74*ue_PUB_PAY</f>
        <v/>
      </c>
      <c r="N82" s="24">
        <f>N71*ue_SITE_PAY+N74*ue_PUB_PAY</f>
        <v/>
      </c>
      <c r="O82" s="24">
        <f>O71*ue_SITE_PAY+O74*ue_PUB_PAY</f>
        <v/>
      </c>
      <c r="P82" s="24">
        <f>P71*ue_SITE_PAY+P74*ue_PUB_PAY</f>
        <v/>
      </c>
      <c r="Q82" s="24">
        <f>Q71*ue_SITE_PAY+Q74*ue_PUB_PAY</f>
        <v/>
      </c>
      <c r="R82" s="24">
        <f>R71*ue_SITE_PAY+R74*ue_PUB_PAY</f>
        <v/>
      </c>
      <c r="S82" s="24">
        <f>S71*ue_SITE_PAY+S74*ue_PUB_PAY</f>
        <v/>
      </c>
      <c r="T82" s="24">
        <f>T71*ue_SITE_PAY+T74*ue_PUB_PAY</f>
        <v/>
      </c>
      <c r="U82" s="25">
        <f>SUM(C82:T82)</f>
        <v/>
      </c>
    </row>
    <row r="83">
      <c r="A83" s="20" t="inlineStr">
        <is>
          <t>Commission TikTok Shop</t>
        </is>
      </c>
      <c r="C83" s="24">
        <f>(C72+C73)*ue_TTS_TTC*'Hypothèses'!C191</f>
        <v/>
      </c>
      <c r="D83" s="24">
        <f>(D72+D73)*ue_TTS_TTC*'Hypothèses'!D191</f>
        <v/>
      </c>
      <c r="E83" s="24">
        <f>(E72+E73)*ue_TTS_TTC*'Hypothèses'!E191</f>
        <v/>
      </c>
      <c r="F83" s="24">
        <f>(F72+F73)*ue_TTS_TTC*'Hypothèses'!F191</f>
        <v/>
      </c>
      <c r="G83" s="24">
        <f>(G72+G73)*ue_TTS_TTC*'Hypothèses'!G191</f>
        <v/>
      </c>
      <c r="H83" s="24">
        <f>(H72+H73)*ue_TTS_TTC*'Hypothèses'!H191</f>
        <v/>
      </c>
      <c r="I83" s="24">
        <f>(I72+I73)*ue_TTS_TTC*'Hypothèses'!I191</f>
        <v/>
      </c>
      <c r="J83" s="24">
        <f>(J72+J73)*ue_TTS_TTC*'Hypothèses'!J191</f>
        <v/>
      </c>
      <c r="K83" s="24">
        <f>(K72+K73)*ue_TTS_TTC*'Hypothèses'!K191</f>
        <v/>
      </c>
      <c r="L83" s="24">
        <f>(L72+L73)*ue_TTS_TTC*'Hypothèses'!L191</f>
        <v/>
      </c>
      <c r="M83" s="24">
        <f>(M72+M73)*ue_TTS_TTC*'Hypothèses'!M191</f>
        <v/>
      </c>
      <c r="N83" s="24">
        <f>(N72+N73)*ue_TTS_TTC*'Hypothèses'!N191</f>
        <v/>
      </c>
      <c r="O83" s="24">
        <f>(O72+O73)*ue_TTS_TTC*'Hypothèses'!O191</f>
        <v/>
      </c>
      <c r="P83" s="24">
        <f>(P72+P73)*ue_TTS_TTC*'Hypothèses'!P191</f>
        <v/>
      </c>
      <c r="Q83" s="24">
        <f>(Q72+Q73)*ue_TTS_TTC*'Hypothèses'!Q191</f>
        <v/>
      </c>
      <c r="R83" s="24">
        <f>(R72+R73)*ue_TTS_TTC*'Hypothèses'!R191</f>
        <v/>
      </c>
      <c r="S83" s="24">
        <f>(S72+S73)*ue_TTS_TTC*'Hypothèses'!S191</f>
        <v/>
      </c>
      <c r="T83" s="24">
        <f>(T72+T73)*ue_TTS_TTC*'Hypothèses'!T191</f>
        <v/>
      </c>
      <c r="U83" s="25">
        <f>SUM(C83:T83)</f>
        <v/>
      </c>
    </row>
    <row r="84">
      <c r="A84" s="20" t="inlineStr">
        <is>
          <t>Commission des créateurs</t>
        </is>
      </c>
      <c r="C84" s="24">
        <f>C73*ue_TTS_TTC*h_CREA_COMM</f>
        <v/>
      </c>
      <c r="D84" s="24">
        <f>D73*ue_TTS_TTC*h_CREA_COMM</f>
        <v/>
      </c>
      <c r="E84" s="24">
        <f>E73*ue_TTS_TTC*h_CREA_COMM</f>
        <v/>
      </c>
      <c r="F84" s="24">
        <f>F73*ue_TTS_TTC*h_CREA_COMM</f>
        <v/>
      </c>
      <c r="G84" s="24">
        <f>G73*ue_TTS_TTC*h_CREA_COMM</f>
        <v/>
      </c>
      <c r="H84" s="24">
        <f>H73*ue_TTS_TTC*h_CREA_COMM</f>
        <v/>
      </c>
      <c r="I84" s="24">
        <f>I73*ue_TTS_TTC*h_CREA_COMM</f>
        <v/>
      </c>
      <c r="J84" s="24">
        <f>J73*ue_TTS_TTC*h_CREA_COMM</f>
        <v/>
      </c>
      <c r="K84" s="24">
        <f>K73*ue_TTS_TTC*h_CREA_COMM</f>
        <v/>
      </c>
      <c r="L84" s="24">
        <f>L73*ue_TTS_TTC*h_CREA_COMM</f>
        <v/>
      </c>
      <c r="M84" s="24">
        <f>M73*ue_TTS_TTC*h_CREA_COMM</f>
        <v/>
      </c>
      <c r="N84" s="24">
        <f>N73*ue_TTS_TTC*h_CREA_COMM</f>
        <v/>
      </c>
      <c r="O84" s="24">
        <f>O73*ue_TTS_TTC*h_CREA_COMM</f>
        <v/>
      </c>
      <c r="P84" s="24">
        <f>P73*ue_TTS_TTC*h_CREA_COMM</f>
        <v/>
      </c>
      <c r="Q84" s="24">
        <f>Q73*ue_TTS_TTC*h_CREA_COMM</f>
        <v/>
      </c>
      <c r="R84" s="24">
        <f>R73*ue_TTS_TTC*h_CREA_COMM</f>
        <v/>
      </c>
      <c r="S84" s="24">
        <f>S73*ue_TTS_TTC*h_CREA_COMM</f>
        <v/>
      </c>
      <c r="T84" s="24">
        <f>T73*ue_TTS_TTC*h_CREA_COMM</f>
        <v/>
      </c>
      <c r="U84" s="25">
        <f>SUM(C84:T84)</f>
        <v/>
      </c>
    </row>
    <row r="85">
      <c r="A85" s="20" t="inlineStr">
        <is>
          <t>Provision retours, SAV, litiges</t>
        </is>
      </c>
      <c r="C85" s="24">
        <f>h_PROV_RETOURS*C78</f>
        <v/>
      </c>
      <c r="D85" s="24">
        <f>h_PROV_RETOURS*D78</f>
        <v/>
      </c>
      <c r="E85" s="24">
        <f>h_PROV_RETOURS*E78</f>
        <v/>
      </c>
      <c r="F85" s="24">
        <f>h_PROV_RETOURS*F78</f>
        <v/>
      </c>
      <c r="G85" s="24">
        <f>h_PROV_RETOURS*G78</f>
        <v/>
      </c>
      <c r="H85" s="24">
        <f>h_PROV_RETOURS*H78</f>
        <v/>
      </c>
      <c r="I85" s="24">
        <f>h_PROV_RETOURS*I78</f>
        <v/>
      </c>
      <c r="J85" s="24">
        <f>h_PROV_RETOURS*J78</f>
        <v/>
      </c>
      <c r="K85" s="24">
        <f>h_PROV_RETOURS*K78</f>
        <v/>
      </c>
      <c r="L85" s="24">
        <f>h_PROV_RETOURS*L78</f>
        <v/>
      </c>
      <c r="M85" s="24">
        <f>h_PROV_RETOURS*M78</f>
        <v/>
      </c>
      <c r="N85" s="24">
        <f>h_PROV_RETOURS*N78</f>
        <v/>
      </c>
      <c r="O85" s="24">
        <f>h_PROV_RETOURS*O78</f>
        <v/>
      </c>
      <c r="P85" s="24">
        <f>h_PROV_RETOURS*P78</f>
        <v/>
      </c>
      <c r="Q85" s="24">
        <f>h_PROV_RETOURS*Q78</f>
        <v/>
      </c>
      <c r="R85" s="24">
        <f>h_PROV_RETOURS*R78</f>
        <v/>
      </c>
      <c r="S85" s="24">
        <f>h_PROV_RETOURS*S78</f>
        <v/>
      </c>
      <c r="T85" s="24">
        <f>h_PROV_RETOURS*T78</f>
        <v/>
      </c>
      <c r="U85" s="25">
        <f>SUM(C85:T85)</f>
        <v/>
      </c>
    </row>
    <row r="86">
      <c r="A86" s="22" t="inlineStr">
        <is>
          <t>Marge de contribution</t>
        </is>
      </c>
      <c r="C86" s="25">
        <f>C78-SUM(C80:C85)</f>
        <v/>
      </c>
      <c r="D86" s="25">
        <f>D78-SUM(D80:D85)</f>
        <v/>
      </c>
      <c r="E86" s="25">
        <f>E78-SUM(E80:E85)</f>
        <v/>
      </c>
      <c r="F86" s="25">
        <f>F78-SUM(F80:F85)</f>
        <v/>
      </c>
      <c r="G86" s="25">
        <f>G78-SUM(G80:G85)</f>
        <v/>
      </c>
      <c r="H86" s="25">
        <f>H78-SUM(H80:H85)</f>
        <v/>
      </c>
      <c r="I86" s="25">
        <f>I78-SUM(I80:I85)</f>
        <v/>
      </c>
      <c r="J86" s="25">
        <f>J78-SUM(J80:J85)</f>
        <v/>
      </c>
      <c r="K86" s="25">
        <f>K78-SUM(K80:K85)</f>
        <v/>
      </c>
      <c r="L86" s="25">
        <f>L78-SUM(L80:L85)</f>
        <v/>
      </c>
      <c r="M86" s="25">
        <f>M78-SUM(M80:M85)</f>
        <v/>
      </c>
      <c r="N86" s="25">
        <f>N78-SUM(N80:N85)</f>
        <v/>
      </c>
      <c r="O86" s="25">
        <f>O78-SUM(O80:O85)</f>
        <v/>
      </c>
      <c r="P86" s="25">
        <f>P78-SUM(P80:P85)</f>
        <v/>
      </c>
      <c r="Q86" s="25">
        <f>Q78-SUM(Q80:Q85)</f>
        <v/>
      </c>
      <c r="R86" s="25">
        <f>R78-SUM(R80:R85)</f>
        <v/>
      </c>
      <c r="S86" s="25">
        <f>S78-SUM(S80:S85)</f>
        <v/>
      </c>
      <c r="T86" s="25">
        <f>T78-SUM(T80:T85)</f>
        <v/>
      </c>
      <c r="U86" s="25">
        <f>SUM(C86:T86)</f>
        <v/>
      </c>
    </row>
    <row r="87">
      <c r="A87" s="20" t="inlineStr">
        <is>
          <t>Publicité</t>
        </is>
      </c>
      <c r="C87" s="24">
        <f>'Hypothèses'!C193</f>
        <v/>
      </c>
      <c r="D87" s="24">
        <f>'Hypothèses'!D193</f>
        <v/>
      </c>
      <c r="E87" s="24">
        <f>'Hypothèses'!E193</f>
        <v/>
      </c>
      <c r="F87" s="24">
        <f>'Hypothèses'!F193</f>
        <v/>
      </c>
      <c r="G87" s="24">
        <f>'Hypothèses'!G193</f>
        <v/>
      </c>
      <c r="H87" s="24">
        <f>'Hypothèses'!H193</f>
        <v/>
      </c>
      <c r="I87" s="24">
        <f>'Hypothèses'!I193</f>
        <v/>
      </c>
      <c r="J87" s="24">
        <f>'Hypothèses'!J193</f>
        <v/>
      </c>
      <c r="K87" s="24">
        <f>'Hypothèses'!K193</f>
        <v/>
      </c>
      <c r="L87" s="24">
        <f>'Hypothèses'!L193</f>
        <v/>
      </c>
      <c r="M87" s="24">
        <f>'Hypothèses'!M193</f>
        <v/>
      </c>
      <c r="N87" s="24">
        <f>'Hypothèses'!N193</f>
        <v/>
      </c>
      <c r="O87" s="24">
        <f>'Hypothèses'!O193</f>
        <v/>
      </c>
      <c r="P87" s="24">
        <f>'Hypothèses'!P193</f>
        <v/>
      </c>
      <c r="Q87" s="24">
        <f>'Hypothèses'!Q193</f>
        <v/>
      </c>
      <c r="R87" s="24">
        <f>'Hypothèses'!R193</f>
        <v/>
      </c>
      <c r="S87" s="24">
        <f>'Hypothèses'!S193</f>
        <v/>
      </c>
      <c r="T87" s="24">
        <f>'Hypothèses'!T193</f>
        <v/>
      </c>
      <c r="U87" s="25">
        <f>SUM(C87:T87)</f>
        <v/>
      </c>
    </row>
    <row r="88">
      <c r="A88" s="20" t="inlineStr">
        <is>
          <t>Échantillons créateurs</t>
        </is>
      </c>
      <c r="C88" s="24">
        <f>'Hypothèses'!C195</f>
        <v/>
      </c>
      <c r="D88" s="24">
        <f>'Hypothèses'!D195</f>
        <v/>
      </c>
      <c r="E88" s="24">
        <f>'Hypothèses'!E195</f>
        <v/>
      </c>
      <c r="F88" s="24">
        <f>'Hypothèses'!F195</f>
        <v/>
      </c>
      <c r="G88" s="24">
        <f>'Hypothèses'!G195</f>
        <v/>
      </c>
      <c r="H88" s="24">
        <f>'Hypothèses'!H195</f>
        <v/>
      </c>
      <c r="I88" s="24">
        <f>'Hypothèses'!I195</f>
        <v/>
      </c>
      <c r="J88" s="24">
        <f>'Hypothèses'!J195</f>
        <v/>
      </c>
      <c r="K88" s="24">
        <f>'Hypothèses'!K195</f>
        <v/>
      </c>
      <c r="L88" s="24">
        <f>'Hypothèses'!L195</f>
        <v/>
      </c>
      <c r="M88" s="24">
        <f>'Hypothèses'!M195</f>
        <v/>
      </c>
      <c r="N88" s="24">
        <f>'Hypothèses'!N195</f>
        <v/>
      </c>
      <c r="O88" s="24">
        <f>'Hypothèses'!O195</f>
        <v/>
      </c>
      <c r="P88" s="24">
        <f>'Hypothèses'!P195</f>
        <v/>
      </c>
      <c r="Q88" s="24">
        <f>'Hypothèses'!Q195</f>
        <v/>
      </c>
      <c r="R88" s="24">
        <f>'Hypothèses'!R195</f>
        <v/>
      </c>
      <c r="S88" s="24">
        <f>'Hypothèses'!S195</f>
        <v/>
      </c>
      <c r="T88" s="24">
        <f>'Hypothèses'!T195</f>
        <v/>
      </c>
      <c r="U88" s="25">
        <f>SUM(C88:T88)</f>
        <v/>
      </c>
    </row>
    <row r="89">
      <c r="A89" s="20" t="inlineStr">
        <is>
          <t>Frais fixes et ponctuels</t>
        </is>
      </c>
      <c r="C89" s="24">
        <f>'Hypothèses'!C199+'Hypothèses'!C200+'Hypothèses'!C201+'Hypothèses'!C202+'Hypothèses'!C203</f>
        <v/>
      </c>
      <c r="D89" s="24">
        <f>'Hypothèses'!D199+'Hypothèses'!D200+'Hypothèses'!D201+'Hypothèses'!D202+'Hypothèses'!D203</f>
        <v/>
      </c>
      <c r="E89" s="24">
        <f>'Hypothèses'!E199+'Hypothèses'!E200+'Hypothèses'!E201+'Hypothèses'!E202+'Hypothèses'!E203</f>
        <v/>
      </c>
      <c r="F89" s="24">
        <f>'Hypothèses'!F199+'Hypothèses'!F200+'Hypothèses'!F201+'Hypothèses'!F202+'Hypothèses'!F203</f>
        <v/>
      </c>
      <c r="G89" s="24">
        <f>'Hypothèses'!G199+'Hypothèses'!G200+'Hypothèses'!G201+'Hypothèses'!G202+'Hypothèses'!G203</f>
        <v/>
      </c>
      <c r="H89" s="24">
        <f>'Hypothèses'!H199+'Hypothèses'!H200+'Hypothèses'!H201+'Hypothèses'!H202+'Hypothèses'!H203</f>
        <v/>
      </c>
      <c r="I89" s="24">
        <f>'Hypothèses'!I199+'Hypothèses'!I200+'Hypothèses'!I201+'Hypothèses'!I202+'Hypothèses'!I203</f>
        <v/>
      </c>
      <c r="J89" s="24">
        <f>'Hypothèses'!J199+'Hypothèses'!J200+'Hypothèses'!J201+'Hypothèses'!J202+'Hypothèses'!J203</f>
        <v/>
      </c>
      <c r="K89" s="24">
        <f>'Hypothèses'!K199+'Hypothèses'!K200+'Hypothèses'!K201+'Hypothèses'!K202+'Hypothèses'!K203</f>
        <v/>
      </c>
      <c r="L89" s="24">
        <f>'Hypothèses'!L199+'Hypothèses'!L200+'Hypothèses'!L201+'Hypothèses'!L202+'Hypothèses'!L203</f>
        <v/>
      </c>
      <c r="M89" s="24">
        <f>'Hypothèses'!M199+'Hypothèses'!M200+'Hypothèses'!M201+'Hypothèses'!M202+'Hypothèses'!M203</f>
        <v/>
      </c>
      <c r="N89" s="24">
        <f>'Hypothèses'!N199+'Hypothèses'!N200+'Hypothèses'!N201+'Hypothèses'!N202+'Hypothèses'!N203</f>
        <v/>
      </c>
      <c r="O89" s="24">
        <f>'Hypothèses'!O199+'Hypothèses'!O200+'Hypothèses'!O201+'Hypothèses'!O202+'Hypothèses'!O203</f>
        <v/>
      </c>
      <c r="P89" s="24">
        <f>'Hypothèses'!P199+'Hypothèses'!P200+'Hypothèses'!P201+'Hypothèses'!P202+'Hypothèses'!P203</f>
        <v/>
      </c>
      <c r="Q89" s="24">
        <f>'Hypothèses'!Q199+'Hypothèses'!Q200+'Hypothèses'!Q201+'Hypothèses'!Q202+'Hypothèses'!Q203</f>
        <v/>
      </c>
      <c r="R89" s="24">
        <f>'Hypothèses'!R199+'Hypothèses'!R200+'Hypothèses'!R201+'Hypothèses'!R202+'Hypothèses'!R203</f>
        <v/>
      </c>
      <c r="S89" s="24">
        <f>'Hypothèses'!S199+'Hypothèses'!S200+'Hypothèses'!S201+'Hypothèses'!S202+'Hypothèses'!S203</f>
        <v/>
      </c>
      <c r="T89" s="24">
        <f>'Hypothèses'!T199+'Hypothèses'!T200+'Hypothèses'!T201+'Hypothèses'!T202+'Hypothèses'!T203</f>
        <v/>
      </c>
      <c r="U89" s="25">
        <f>SUM(C89:T89)</f>
        <v/>
      </c>
    </row>
    <row r="90">
      <c r="A90" s="22" t="inlineStr">
        <is>
          <t>Bénéfice net (avant IS et rémunération du dirigeant)</t>
        </is>
      </c>
      <c r="C90" s="26">
        <f>C86-C87-C88-C89</f>
        <v/>
      </c>
      <c r="D90" s="26">
        <f>D86-D87-D88-D89</f>
        <v/>
      </c>
      <c r="E90" s="26">
        <f>E86-E87-E88-E89</f>
        <v/>
      </c>
      <c r="F90" s="26">
        <f>F86-F87-F88-F89</f>
        <v/>
      </c>
      <c r="G90" s="26">
        <f>G86-G87-G88-G89</f>
        <v/>
      </c>
      <c r="H90" s="26">
        <f>H86-H87-H88-H89</f>
        <v/>
      </c>
      <c r="I90" s="26">
        <f>I86-I87-I88-I89</f>
        <v/>
      </c>
      <c r="J90" s="26">
        <f>J86-J87-J88-J89</f>
        <v/>
      </c>
      <c r="K90" s="26">
        <f>K86-K87-K88-K89</f>
        <v/>
      </c>
      <c r="L90" s="26">
        <f>L86-L87-L88-L89</f>
        <v/>
      </c>
      <c r="M90" s="26">
        <f>M86-M87-M88-M89</f>
        <v/>
      </c>
      <c r="N90" s="26">
        <f>N86-N87-N88-N89</f>
        <v/>
      </c>
      <c r="O90" s="26">
        <f>O86-O87-O88-O89</f>
        <v/>
      </c>
      <c r="P90" s="26">
        <f>P86-P87-P88-P89</f>
        <v/>
      </c>
      <c r="Q90" s="26">
        <f>Q86-Q87-Q88-Q89</f>
        <v/>
      </c>
      <c r="R90" s="26">
        <f>R86-R87-R88-R89</f>
        <v/>
      </c>
      <c r="S90" s="26">
        <f>S86-S87-S88-S89</f>
        <v/>
      </c>
      <c r="T90" s="26">
        <f>T86-T87-T88-T89</f>
        <v/>
      </c>
      <c r="U90" s="25">
        <f>SUM(C90:T90)</f>
        <v/>
      </c>
    </row>
    <row r="91">
      <c r="A91" s="20" t="inlineStr">
        <is>
          <t>Bénéfice net cumulé</t>
        </is>
      </c>
      <c r="C91" s="24">
        <f>C90</f>
        <v/>
      </c>
      <c r="D91" s="24">
        <f>D90+C91</f>
        <v/>
      </c>
      <c r="E91" s="24">
        <f>E90+D91</f>
        <v/>
      </c>
      <c r="F91" s="24">
        <f>F90+E91</f>
        <v/>
      </c>
      <c r="G91" s="24">
        <f>G90+F91</f>
        <v/>
      </c>
      <c r="H91" s="24">
        <f>H90+G91</f>
        <v/>
      </c>
      <c r="I91" s="24">
        <f>I90+H91</f>
        <v/>
      </c>
      <c r="J91" s="24">
        <f>J90+I91</f>
        <v/>
      </c>
      <c r="K91" s="24">
        <f>K90+J91</f>
        <v/>
      </c>
      <c r="L91" s="24">
        <f>L90+K91</f>
        <v/>
      </c>
      <c r="M91" s="24">
        <f>M90+L91</f>
        <v/>
      </c>
      <c r="N91" s="24">
        <f>N90+M91</f>
        <v/>
      </c>
      <c r="O91" s="24">
        <f>O90+N91</f>
        <v/>
      </c>
      <c r="P91" s="24">
        <f>P90+O91</f>
        <v/>
      </c>
      <c r="Q91" s="24">
        <f>Q90+P91</f>
        <v/>
      </c>
      <c r="R91" s="24">
        <f>R90+Q91</f>
        <v/>
      </c>
      <c r="S91" s="24">
        <f>S90+R91</f>
        <v/>
      </c>
      <c r="T91" s="24">
        <f>T90+S91</f>
        <v/>
      </c>
    </row>
    <row r="92">
      <c r="A92" s="20" t="inlineStr">
        <is>
          <t>Coûts totaux (CA HT − bénéfice net)</t>
        </is>
      </c>
      <c r="C92" s="24">
        <f>C78-C90</f>
        <v/>
      </c>
      <c r="D92" s="24">
        <f>D78-D90</f>
        <v/>
      </c>
      <c r="E92" s="24">
        <f>E78-E90</f>
        <v/>
      </c>
      <c r="F92" s="24">
        <f>F78-F90</f>
        <v/>
      </c>
      <c r="G92" s="24">
        <f>G78-G90</f>
        <v/>
      </c>
      <c r="H92" s="24">
        <f>H78-H90</f>
        <v/>
      </c>
      <c r="I92" s="24">
        <f>I78-I90</f>
        <v/>
      </c>
      <c r="J92" s="24">
        <f>J78-J90</f>
        <v/>
      </c>
      <c r="K92" s="24">
        <f>K78-K90</f>
        <v/>
      </c>
      <c r="L92" s="24">
        <f>L78-L90</f>
        <v/>
      </c>
      <c r="M92" s="24">
        <f>M78-M90</f>
        <v/>
      </c>
      <c r="N92" s="24">
        <f>N78-N90</f>
        <v/>
      </c>
      <c r="O92" s="24">
        <f>O78-O90</f>
        <v/>
      </c>
      <c r="P92" s="24">
        <f>P78-P90</f>
        <v/>
      </c>
      <c r="Q92" s="24">
        <f>Q78-Q90</f>
        <v/>
      </c>
      <c r="R92" s="24">
        <f>R78-R90</f>
        <v/>
      </c>
      <c r="S92" s="24">
        <f>S78-S90</f>
        <v/>
      </c>
      <c r="T92" s="24">
        <f>T78-T90</f>
        <v/>
      </c>
      <c r="U92" s="25">
        <f>SUM(C92:T92)</f>
        <v/>
      </c>
    </row>
    <row r="93">
      <c r="A93" s="20" t="inlineStr">
        <is>
          <t>Nouvel exercice (1 = oui)</t>
        </is>
      </c>
      <c r="C93" s="27">
        <f>1</f>
        <v/>
      </c>
      <c r="D93" s="27">
        <f>IF(D70&lt;&gt;C70,1,0)</f>
        <v/>
      </c>
      <c r="E93" s="27">
        <f>IF(E70&lt;&gt;D70,1,0)</f>
        <v/>
      </c>
      <c r="F93" s="27">
        <f>IF(F70&lt;&gt;E70,1,0)</f>
        <v/>
      </c>
      <c r="G93" s="27">
        <f>IF(G70&lt;&gt;F70,1,0)</f>
        <v/>
      </c>
      <c r="H93" s="27">
        <f>IF(H70&lt;&gt;G70,1,0)</f>
        <v/>
      </c>
      <c r="I93" s="27">
        <f>IF(I70&lt;&gt;H70,1,0)</f>
        <v/>
      </c>
      <c r="J93" s="27">
        <f>IF(J70&lt;&gt;I70,1,0)</f>
        <v/>
      </c>
      <c r="K93" s="27">
        <f>IF(K70&lt;&gt;J70,1,0)</f>
        <v/>
      </c>
      <c r="L93" s="27">
        <f>IF(L70&lt;&gt;K70,1,0)</f>
        <v/>
      </c>
      <c r="M93" s="27">
        <f>IF(M70&lt;&gt;L70,1,0)</f>
        <v/>
      </c>
      <c r="N93" s="27">
        <f>IF(N70&lt;&gt;M70,1,0)</f>
        <v/>
      </c>
      <c r="O93" s="27">
        <f>IF(O70&lt;&gt;N70,1,0)</f>
        <v/>
      </c>
      <c r="P93" s="27">
        <f>IF(P70&lt;&gt;O70,1,0)</f>
        <v/>
      </c>
      <c r="Q93" s="27">
        <f>IF(Q70&lt;&gt;P70,1,0)</f>
        <v/>
      </c>
      <c r="R93" s="27">
        <f>IF(R70&lt;&gt;Q70,1,0)</f>
        <v/>
      </c>
      <c r="S93" s="27">
        <f>IF(S70&lt;&gt;R70,1,0)</f>
        <v/>
      </c>
      <c r="T93" s="27">
        <f>IF(T70&lt;&gt;S70,1,0)</f>
        <v/>
      </c>
    </row>
    <row r="94">
      <c r="A94" s="20" t="inlineStr">
        <is>
          <t>Base IS cumulée de l'exercice (déficit antérieur reporté)</t>
        </is>
      </c>
      <c r="C94" s="24">
        <f>C90</f>
        <v/>
      </c>
      <c r="D94" s="24">
        <f>IF(D93=1,MIN(0,C94)+D90,C94+D90)</f>
        <v/>
      </c>
      <c r="E94" s="24">
        <f>IF(E93=1,MIN(0,D94)+E90,D94+E90)</f>
        <v/>
      </c>
      <c r="F94" s="24">
        <f>IF(F93=1,MIN(0,E94)+F90,E94+F90)</f>
        <v/>
      </c>
      <c r="G94" s="24">
        <f>IF(G93=1,MIN(0,F94)+G90,F94+G90)</f>
        <v/>
      </c>
      <c r="H94" s="24">
        <f>IF(H93=1,MIN(0,G94)+H90,G94+H90)</f>
        <v/>
      </c>
      <c r="I94" s="24">
        <f>IF(I93=1,MIN(0,H94)+I90,H94+I90)</f>
        <v/>
      </c>
      <c r="J94" s="24">
        <f>IF(J93=1,MIN(0,I94)+J90,I94+J90)</f>
        <v/>
      </c>
      <c r="K94" s="24">
        <f>IF(K93=1,MIN(0,J94)+K90,J94+K90)</f>
        <v/>
      </c>
      <c r="L94" s="24">
        <f>IF(L93=1,MIN(0,K94)+L90,K94+L90)</f>
        <v/>
      </c>
      <c r="M94" s="24">
        <f>IF(M93=1,MIN(0,L94)+M90,L94+M90)</f>
        <v/>
      </c>
      <c r="N94" s="24">
        <f>IF(N93=1,MIN(0,M94)+N90,M94+N90)</f>
        <v/>
      </c>
      <c r="O94" s="24">
        <f>IF(O93=1,MIN(0,N94)+O90,N94+O90)</f>
        <v/>
      </c>
      <c r="P94" s="24">
        <f>IF(P93=1,MIN(0,O94)+P90,O94+P90)</f>
        <v/>
      </c>
      <c r="Q94" s="24">
        <f>IF(Q93=1,MIN(0,P94)+Q90,P94+Q90)</f>
        <v/>
      </c>
      <c r="R94" s="24">
        <f>IF(R93=1,MIN(0,Q94)+R90,Q94+R90)</f>
        <v/>
      </c>
      <c r="S94" s="24">
        <f>IF(S93=1,MIN(0,R94)+S90,R94+S90)</f>
        <v/>
      </c>
      <c r="T94" s="24">
        <f>IF(T93=1,MIN(0,S94)+T90,S94+T90)</f>
        <v/>
      </c>
    </row>
    <row r="95">
      <c r="A95" s="20" t="inlineStr">
        <is>
          <t>IS cumulé de l'exercice</t>
        </is>
      </c>
      <c r="C95" s="24">
        <f>h_IS_TAUX_REDUIT*MIN(MAX(C94,0),h_IS_SEUIL)+h_IS_TAUX_NORMAL*MAX(C94-h_IS_SEUIL,0)</f>
        <v/>
      </c>
      <c r="D95" s="24">
        <f>h_IS_TAUX_REDUIT*MIN(MAX(D94,0),h_IS_SEUIL)+h_IS_TAUX_NORMAL*MAX(D94-h_IS_SEUIL,0)</f>
        <v/>
      </c>
      <c r="E95" s="24">
        <f>h_IS_TAUX_REDUIT*MIN(MAX(E94,0),h_IS_SEUIL)+h_IS_TAUX_NORMAL*MAX(E94-h_IS_SEUIL,0)</f>
        <v/>
      </c>
      <c r="F95" s="24">
        <f>h_IS_TAUX_REDUIT*MIN(MAX(F94,0),h_IS_SEUIL)+h_IS_TAUX_NORMAL*MAX(F94-h_IS_SEUIL,0)</f>
        <v/>
      </c>
      <c r="G95" s="24">
        <f>h_IS_TAUX_REDUIT*MIN(MAX(G94,0),h_IS_SEUIL)+h_IS_TAUX_NORMAL*MAX(G94-h_IS_SEUIL,0)</f>
        <v/>
      </c>
      <c r="H95" s="24">
        <f>h_IS_TAUX_REDUIT*MIN(MAX(H94,0),h_IS_SEUIL)+h_IS_TAUX_NORMAL*MAX(H94-h_IS_SEUIL,0)</f>
        <v/>
      </c>
      <c r="I95" s="24">
        <f>h_IS_TAUX_REDUIT*MIN(MAX(I94,0),h_IS_SEUIL)+h_IS_TAUX_NORMAL*MAX(I94-h_IS_SEUIL,0)</f>
        <v/>
      </c>
      <c r="J95" s="24">
        <f>h_IS_TAUX_REDUIT*MIN(MAX(J94,0),h_IS_SEUIL)+h_IS_TAUX_NORMAL*MAX(J94-h_IS_SEUIL,0)</f>
        <v/>
      </c>
      <c r="K95" s="24">
        <f>h_IS_TAUX_REDUIT*MIN(MAX(K94,0),h_IS_SEUIL)+h_IS_TAUX_NORMAL*MAX(K94-h_IS_SEUIL,0)</f>
        <v/>
      </c>
      <c r="L95" s="24">
        <f>h_IS_TAUX_REDUIT*MIN(MAX(L94,0),h_IS_SEUIL)+h_IS_TAUX_NORMAL*MAX(L94-h_IS_SEUIL,0)</f>
        <v/>
      </c>
      <c r="M95" s="24">
        <f>h_IS_TAUX_REDUIT*MIN(MAX(M94,0),h_IS_SEUIL)+h_IS_TAUX_NORMAL*MAX(M94-h_IS_SEUIL,0)</f>
        <v/>
      </c>
      <c r="N95" s="24">
        <f>h_IS_TAUX_REDUIT*MIN(MAX(N94,0),h_IS_SEUIL)+h_IS_TAUX_NORMAL*MAX(N94-h_IS_SEUIL,0)</f>
        <v/>
      </c>
      <c r="O95" s="24">
        <f>h_IS_TAUX_REDUIT*MIN(MAX(O94,0),h_IS_SEUIL)+h_IS_TAUX_NORMAL*MAX(O94-h_IS_SEUIL,0)</f>
        <v/>
      </c>
      <c r="P95" s="24">
        <f>h_IS_TAUX_REDUIT*MIN(MAX(P94,0),h_IS_SEUIL)+h_IS_TAUX_NORMAL*MAX(P94-h_IS_SEUIL,0)</f>
        <v/>
      </c>
      <c r="Q95" s="24">
        <f>h_IS_TAUX_REDUIT*MIN(MAX(Q94,0),h_IS_SEUIL)+h_IS_TAUX_NORMAL*MAX(Q94-h_IS_SEUIL,0)</f>
        <v/>
      </c>
      <c r="R95" s="24">
        <f>h_IS_TAUX_REDUIT*MIN(MAX(R94,0),h_IS_SEUIL)+h_IS_TAUX_NORMAL*MAX(R94-h_IS_SEUIL,0)</f>
        <v/>
      </c>
      <c r="S95" s="24">
        <f>h_IS_TAUX_REDUIT*MIN(MAX(S94,0),h_IS_SEUIL)+h_IS_TAUX_NORMAL*MAX(S94-h_IS_SEUIL,0)</f>
        <v/>
      </c>
      <c r="T95" s="24">
        <f>h_IS_TAUX_REDUIT*MIN(MAX(T94,0),h_IS_SEUIL)+h_IS_TAUX_NORMAL*MAX(T94-h_IS_SEUIL,0)</f>
        <v/>
      </c>
    </row>
    <row r="96">
      <c r="A96" s="20" t="inlineStr">
        <is>
          <t>IS du mois (provision)</t>
        </is>
      </c>
      <c r="C96" s="24">
        <f>C95</f>
        <v/>
      </c>
      <c r="D96" s="24">
        <f>IF(D93=1,D95,D95-C95)</f>
        <v/>
      </c>
      <c r="E96" s="24">
        <f>IF(E93=1,E95,E95-D95)</f>
        <v/>
      </c>
      <c r="F96" s="24">
        <f>IF(F93=1,F95,F95-E95)</f>
        <v/>
      </c>
      <c r="G96" s="24">
        <f>IF(G93=1,G95,G95-F95)</f>
        <v/>
      </c>
      <c r="H96" s="24">
        <f>IF(H93=1,H95,H95-G95)</f>
        <v/>
      </c>
      <c r="I96" s="24">
        <f>IF(I93=1,I95,I95-H95)</f>
        <v/>
      </c>
      <c r="J96" s="24">
        <f>IF(J93=1,J95,J95-I95)</f>
        <v/>
      </c>
      <c r="K96" s="24">
        <f>IF(K93=1,K95,K95-J95)</f>
        <v/>
      </c>
      <c r="L96" s="24">
        <f>IF(L93=1,L95,L95-K95)</f>
        <v/>
      </c>
      <c r="M96" s="24">
        <f>IF(M93=1,M95,M95-L95)</f>
        <v/>
      </c>
      <c r="N96" s="24">
        <f>IF(N93=1,N95,N95-M95)</f>
        <v/>
      </c>
      <c r="O96" s="24">
        <f>IF(O93=1,O95,O95-N95)</f>
        <v/>
      </c>
      <c r="P96" s="24">
        <f>IF(P93=1,P95,P95-O95)</f>
        <v/>
      </c>
      <c r="Q96" s="24">
        <f>IF(Q93=1,Q95,Q95-P95)</f>
        <v/>
      </c>
      <c r="R96" s="24">
        <f>IF(R93=1,R95,R95-Q95)</f>
        <v/>
      </c>
      <c r="S96" s="24">
        <f>IF(S93=1,S95,S95-R95)</f>
        <v/>
      </c>
      <c r="T96" s="24">
        <f>IF(T93=1,T95,T95-S95)</f>
        <v/>
      </c>
      <c r="U96" s="25">
        <f>SUM(C96:T96)</f>
        <v/>
      </c>
    </row>
    <row r="97">
      <c r="A97" s="22" t="inlineStr">
        <is>
          <t>Résultat après IS</t>
        </is>
      </c>
      <c r="C97" s="25">
        <f>C90-C96</f>
        <v/>
      </c>
      <c r="D97" s="25">
        <f>D90-D96</f>
        <v/>
      </c>
      <c r="E97" s="25">
        <f>E90-E96</f>
        <v/>
      </c>
      <c r="F97" s="25">
        <f>F90-F96</f>
        <v/>
      </c>
      <c r="G97" s="25">
        <f>G90-G96</f>
        <v/>
      </c>
      <c r="H97" s="25">
        <f>H90-H96</f>
        <v/>
      </c>
      <c r="I97" s="25">
        <f>I90-I96</f>
        <v/>
      </c>
      <c r="J97" s="25">
        <f>J90-J96</f>
        <v/>
      </c>
      <c r="K97" s="25">
        <f>K90-K96</f>
        <v/>
      </c>
      <c r="L97" s="25">
        <f>L90-L96</f>
        <v/>
      </c>
      <c r="M97" s="25">
        <f>M90-M96</f>
        <v/>
      </c>
      <c r="N97" s="25">
        <f>N90-N96</f>
        <v/>
      </c>
      <c r="O97" s="25">
        <f>O90-O96</f>
        <v/>
      </c>
      <c r="P97" s="25">
        <f>P90-P96</f>
        <v/>
      </c>
      <c r="Q97" s="25">
        <f>Q90-Q96</f>
        <v/>
      </c>
      <c r="R97" s="25">
        <f>R90-R96</f>
        <v/>
      </c>
      <c r="S97" s="25">
        <f>S90-S96</f>
        <v/>
      </c>
      <c r="T97" s="25">
        <f>T90-T96</f>
        <v/>
      </c>
      <c r="U97" s="25">
        <f>SUM(C97:T97)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Trésorerie mensuelle — départ à 0 €, fournisseurs payés à la commande</t>
        </is>
      </c>
    </row>
    <row r="2">
      <c r="A2" s="2" t="inlineStr">
        <is>
          <t>Stripe : 7 jours au premier versement puis 3 jours ouvrés ; TikTok Shop : 31 jours après livraison pour un vendeur débutant, puis 8 jours ; TVA reversée le mois suivant ; stock détenu = couverture × coût des produits du mois suivant.</t>
        </is>
      </c>
    </row>
    <row r="4">
      <c r="A4" s="4" t="inlineStr">
        <is>
          <t>Scénario pessimiste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3" t="inlineStr">
        <is>
          <t>Ligne</t>
        </is>
      </c>
      <c r="B5" s="3" t="inlineStr"/>
      <c r="C5" s="3" t="inlineStr">
        <is>
          <t>oct. 2026</t>
        </is>
      </c>
      <c r="D5" s="3" t="inlineStr">
        <is>
          <t>nov. 2026</t>
        </is>
      </c>
      <c r="E5" s="3" t="inlineStr">
        <is>
          <t>déc. 2026</t>
        </is>
      </c>
      <c r="F5" s="3" t="inlineStr">
        <is>
          <t>janv. 2027</t>
        </is>
      </c>
      <c r="G5" s="3" t="inlineStr">
        <is>
          <t>févr. 2027</t>
        </is>
      </c>
      <c r="H5" s="3" t="inlineStr">
        <is>
          <t>mars 2027</t>
        </is>
      </c>
      <c r="I5" s="3" t="inlineStr">
        <is>
          <t>avr. 2027</t>
        </is>
      </c>
      <c r="J5" s="3" t="inlineStr">
        <is>
          <t>mai 2027</t>
        </is>
      </c>
      <c r="K5" s="3" t="inlineStr">
        <is>
          <t>juin 2027</t>
        </is>
      </c>
      <c r="L5" s="3" t="inlineStr">
        <is>
          <t>juil. 2027</t>
        </is>
      </c>
      <c r="M5" s="3" t="inlineStr">
        <is>
          <t>août 2027</t>
        </is>
      </c>
      <c r="N5" s="3" t="inlineStr">
        <is>
          <t>sept. 2027</t>
        </is>
      </c>
      <c r="O5" s="3" t="inlineStr">
        <is>
          <t>oct. 2027</t>
        </is>
      </c>
      <c r="P5" s="3" t="inlineStr">
        <is>
          <t>nov. 2027</t>
        </is>
      </c>
      <c r="Q5" s="3" t="inlineStr">
        <is>
          <t>déc. 2027</t>
        </is>
      </c>
      <c r="R5" s="3" t="inlineStr">
        <is>
          <t>janv. 2028</t>
        </is>
      </c>
      <c r="S5" s="3" t="inlineStr">
        <is>
          <t>févr. 2028</t>
        </is>
      </c>
      <c r="T5" s="3" t="inlineStr">
        <is>
          <t>mars 2028</t>
        </is>
      </c>
      <c r="U5" s="3" t="inlineStr">
        <is>
          <t>Total</t>
        </is>
      </c>
    </row>
    <row r="6">
      <c r="A6" s="20" t="inlineStr">
        <is>
          <t>Ventes du site nettes de frais de paiement (dues)</t>
        </is>
      </c>
      <c r="C6" s="24">
        <f>'Scénarios 18 mois'!C7*(ue_SITE_TTC-ue_SITE_PAY)+'Scénarios 18 mois'!C10*(ue_PUB_TTC-ue_PUB_PAY)</f>
        <v/>
      </c>
      <c r="D6" s="24">
        <f>'Scénarios 18 mois'!D7*(ue_SITE_TTC-ue_SITE_PAY)+'Scénarios 18 mois'!D10*(ue_PUB_TTC-ue_PUB_PAY)</f>
        <v/>
      </c>
      <c r="E6" s="24">
        <f>'Scénarios 18 mois'!E7*(ue_SITE_TTC-ue_SITE_PAY)+'Scénarios 18 mois'!E10*(ue_PUB_TTC-ue_PUB_PAY)</f>
        <v/>
      </c>
      <c r="F6" s="24">
        <f>'Scénarios 18 mois'!F7*(ue_SITE_TTC-ue_SITE_PAY)+'Scénarios 18 mois'!F10*(ue_PUB_TTC-ue_PUB_PAY)</f>
        <v/>
      </c>
      <c r="G6" s="24">
        <f>'Scénarios 18 mois'!G7*(ue_SITE_TTC-ue_SITE_PAY)+'Scénarios 18 mois'!G10*(ue_PUB_TTC-ue_PUB_PAY)</f>
        <v/>
      </c>
      <c r="H6" s="24">
        <f>'Scénarios 18 mois'!H7*(ue_SITE_TTC-ue_SITE_PAY)+'Scénarios 18 mois'!H10*(ue_PUB_TTC-ue_PUB_PAY)</f>
        <v/>
      </c>
      <c r="I6" s="24">
        <f>'Scénarios 18 mois'!I7*(ue_SITE_TTC-ue_SITE_PAY)+'Scénarios 18 mois'!I10*(ue_PUB_TTC-ue_PUB_PAY)</f>
        <v/>
      </c>
      <c r="J6" s="24">
        <f>'Scénarios 18 mois'!J7*(ue_SITE_TTC-ue_SITE_PAY)+'Scénarios 18 mois'!J10*(ue_PUB_TTC-ue_PUB_PAY)</f>
        <v/>
      </c>
      <c r="K6" s="24">
        <f>'Scénarios 18 mois'!K7*(ue_SITE_TTC-ue_SITE_PAY)+'Scénarios 18 mois'!K10*(ue_PUB_TTC-ue_PUB_PAY)</f>
        <v/>
      </c>
      <c r="L6" s="24">
        <f>'Scénarios 18 mois'!L7*(ue_SITE_TTC-ue_SITE_PAY)+'Scénarios 18 mois'!L10*(ue_PUB_TTC-ue_PUB_PAY)</f>
        <v/>
      </c>
      <c r="M6" s="24">
        <f>'Scénarios 18 mois'!M7*(ue_SITE_TTC-ue_SITE_PAY)+'Scénarios 18 mois'!M10*(ue_PUB_TTC-ue_PUB_PAY)</f>
        <v/>
      </c>
      <c r="N6" s="24">
        <f>'Scénarios 18 mois'!N7*(ue_SITE_TTC-ue_SITE_PAY)+'Scénarios 18 mois'!N10*(ue_PUB_TTC-ue_PUB_PAY)</f>
        <v/>
      </c>
      <c r="O6" s="24">
        <f>'Scénarios 18 mois'!O7*(ue_SITE_TTC-ue_SITE_PAY)+'Scénarios 18 mois'!O10*(ue_PUB_TTC-ue_PUB_PAY)</f>
        <v/>
      </c>
      <c r="P6" s="24">
        <f>'Scénarios 18 mois'!P7*(ue_SITE_TTC-ue_SITE_PAY)+'Scénarios 18 mois'!P10*(ue_PUB_TTC-ue_PUB_PAY)</f>
        <v/>
      </c>
      <c r="Q6" s="24">
        <f>'Scénarios 18 mois'!Q7*(ue_SITE_TTC-ue_SITE_PAY)+'Scénarios 18 mois'!Q10*(ue_PUB_TTC-ue_PUB_PAY)</f>
        <v/>
      </c>
      <c r="R6" s="24">
        <f>'Scénarios 18 mois'!R7*(ue_SITE_TTC-ue_SITE_PAY)+'Scénarios 18 mois'!R10*(ue_PUB_TTC-ue_PUB_PAY)</f>
        <v/>
      </c>
      <c r="S6" s="24">
        <f>'Scénarios 18 mois'!S7*(ue_SITE_TTC-ue_SITE_PAY)+'Scénarios 18 mois'!S10*(ue_PUB_TTC-ue_PUB_PAY)</f>
        <v/>
      </c>
      <c r="T6" s="24">
        <f>'Scénarios 18 mois'!T7*(ue_SITE_TTC-ue_SITE_PAY)+'Scénarios 18 mois'!T10*(ue_PUB_TTC-ue_PUB_PAY)</f>
        <v/>
      </c>
    </row>
    <row r="7">
      <c r="A7" s="20" t="inlineStr">
        <is>
          <t>Encaissement Stripe / Shopify Payments</t>
        </is>
      </c>
      <c r="C7" s="24">
        <f>C6*(1-'Hypothèses'!C155/30)</f>
        <v/>
      </c>
      <c r="D7" s="24">
        <f>D6*(1-'Hypothèses'!D155/30)+C6*'Hypothèses'!C155/30</f>
        <v/>
      </c>
      <c r="E7" s="24">
        <f>E6*(1-'Hypothèses'!E155/30)+D6*'Hypothèses'!D155/30</f>
        <v/>
      </c>
      <c r="F7" s="24">
        <f>F6*(1-'Hypothèses'!F155/30)+E6*'Hypothèses'!E155/30</f>
        <v/>
      </c>
      <c r="G7" s="24">
        <f>G6*(1-'Hypothèses'!G155/30)+F6*'Hypothèses'!F155/30</f>
        <v/>
      </c>
      <c r="H7" s="24">
        <f>H6*(1-'Hypothèses'!H155/30)+G6*'Hypothèses'!G155/30</f>
        <v/>
      </c>
      <c r="I7" s="24">
        <f>I6*(1-'Hypothèses'!I155/30)+H6*'Hypothèses'!H155/30</f>
        <v/>
      </c>
      <c r="J7" s="24">
        <f>J6*(1-'Hypothèses'!J155/30)+I6*'Hypothèses'!I155/30</f>
        <v/>
      </c>
      <c r="K7" s="24">
        <f>K6*(1-'Hypothèses'!K155/30)+J6*'Hypothèses'!J155/30</f>
        <v/>
      </c>
      <c r="L7" s="24">
        <f>L6*(1-'Hypothèses'!L155/30)+K6*'Hypothèses'!K155/30</f>
        <v/>
      </c>
      <c r="M7" s="24">
        <f>M6*(1-'Hypothèses'!M155/30)+L6*'Hypothèses'!L155/30</f>
        <v/>
      </c>
      <c r="N7" s="24">
        <f>N6*(1-'Hypothèses'!N155/30)+M6*'Hypothèses'!M155/30</f>
        <v/>
      </c>
      <c r="O7" s="24">
        <f>O6*(1-'Hypothèses'!O155/30)+N6*'Hypothèses'!N155/30</f>
        <v/>
      </c>
      <c r="P7" s="24">
        <f>P6*(1-'Hypothèses'!P155/30)+O6*'Hypothèses'!O155/30</f>
        <v/>
      </c>
      <c r="Q7" s="24">
        <f>Q6*(1-'Hypothèses'!Q155/30)+P6*'Hypothèses'!P155/30</f>
        <v/>
      </c>
      <c r="R7" s="24">
        <f>R6*(1-'Hypothèses'!R155/30)+Q6*'Hypothèses'!Q155/30</f>
        <v/>
      </c>
      <c r="S7" s="24">
        <f>S6*(1-'Hypothèses'!S155/30)+R6*'Hypothèses'!R155/30</f>
        <v/>
      </c>
      <c r="T7" s="24">
        <f>T6*(1-'Hypothèses'!T155/30)+S6*'Hypothèses'!S155/30</f>
        <v/>
      </c>
      <c r="U7" s="25">
        <f>SUM(C7:T7)</f>
        <v/>
      </c>
    </row>
    <row r="8">
      <c r="A8" s="20" t="inlineStr">
        <is>
          <t>Ventes TikTok Shop nettes de commissions (dues)</t>
        </is>
      </c>
      <c r="C8" s="24">
        <f>('Scénarios 18 mois'!C8+'Scénarios 18 mois'!C9)*ue_TTS_TTC*(1-'Hypothèses'!C149)-'Scénarios 18 mois'!C9*ue_TTS_TTC*h_CREA_COMM</f>
        <v/>
      </c>
      <c r="D8" s="24">
        <f>('Scénarios 18 mois'!D8+'Scénarios 18 mois'!D9)*ue_TTS_TTC*(1-'Hypothèses'!D149)-'Scénarios 18 mois'!D9*ue_TTS_TTC*h_CREA_COMM</f>
        <v/>
      </c>
      <c r="E8" s="24">
        <f>('Scénarios 18 mois'!E8+'Scénarios 18 mois'!E9)*ue_TTS_TTC*(1-'Hypothèses'!E149)-'Scénarios 18 mois'!E9*ue_TTS_TTC*h_CREA_COMM</f>
        <v/>
      </c>
      <c r="F8" s="24">
        <f>('Scénarios 18 mois'!F8+'Scénarios 18 mois'!F9)*ue_TTS_TTC*(1-'Hypothèses'!F149)-'Scénarios 18 mois'!F9*ue_TTS_TTC*h_CREA_COMM</f>
        <v/>
      </c>
      <c r="G8" s="24">
        <f>('Scénarios 18 mois'!G8+'Scénarios 18 mois'!G9)*ue_TTS_TTC*(1-'Hypothèses'!G149)-'Scénarios 18 mois'!G9*ue_TTS_TTC*h_CREA_COMM</f>
        <v/>
      </c>
      <c r="H8" s="24">
        <f>('Scénarios 18 mois'!H8+'Scénarios 18 mois'!H9)*ue_TTS_TTC*(1-'Hypothèses'!H149)-'Scénarios 18 mois'!H9*ue_TTS_TTC*h_CREA_COMM</f>
        <v/>
      </c>
      <c r="I8" s="24">
        <f>('Scénarios 18 mois'!I8+'Scénarios 18 mois'!I9)*ue_TTS_TTC*(1-'Hypothèses'!I149)-'Scénarios 18 mois'!I9*ue_TTS_TTC*h_CREA_COMM</f>
        <v/>
      </c>
      <c r="J8" s="24">
        <f>('Scénarios 18 mois'!J8+'Scénarios 18 mois'!J9)*ue_TTS_TTC*(1-'Hypothèses'!J149)-'Scénarios 18 mois'!J9*ue_TTS_TTC*h_CREA_COMM</f>
        <v/>
      </c>
      <c r="K8" s="24">
        <f>('Scénarios 18 mois'!K8+'Scénarios 18 mois'!K9)*ue_TTS_TTC*(1-'Hypothèses'!K149)-'Scénarios 18 mois'!K9*ue_TTS_TTC*h_CREA_COMM</f>
        <v/>
      </c>
      <c r="L8" s="24">
        <f>('Scénarios 18 mois'!L8+'Scénarios 18 mois'!L9)*ue_TTS_TTC*(1-'Hypothèses'!L149)-'Scénarios 18 mois'!L9*ue_TTS_TTC*h_CREA_COMM</f>
        <v/>
      </c>
      <c r="M8" s="24">
        <f>('Scénarios 18 mois'!M8+'Scénarios 18 mois'!M9)*ue_TTS_TTC*(1-'Hypothèses'!M149)-'Scénarios 18 mois'!M9*ue_TTS_TTC*h_CREA_COMM</f>
        <v/>
      </c>
      <c r="N8" s="24">
        <f>('Scénarios 18 mois'!N8+'Scénarios 18 mois'!N9)*ue_TTS_TTC*(1-'Hypothèses'!N149)-'Scénarios 18 mois'!N9*ue_TTS_TTC*h_CREA_COMM</f>
        <v/>
      </c>
      <c r="O8" s="24">
        <f>('Scénarios 18 mois'!O8+'Scénarios 18 mois'!O9)*ue_TTS_TTC*(1-'Hypothèses'!O149)-'Scénarios 18 mois'!O9*ue_TTS_TTC*h_CREA_COMM</f>
        <v/>
      </c>
      <c r="P8" s="24">
        <f>('Scénarios 18 mois'!P8+'Scénarios 18 mois'!P9)*ue_TTS_TTC*(1-'Hypothèses'!P149)-'Scénarios 18 mois'!P9*ue_TTS_TTC*h_CREA_COMM</f>
        <v/>
      </c>
      <c r="Q8" s="24">
        <f>('Scénarios 18 mois'!Q8+'Scénarios 18 mois'!Q9)*ue_TTS_TTC*(1-'Hypothèses'!Q149)-'Scénarios 18 mois'!Q9*ue_TTS_TTC*h_CREA_COMM</f>
        <v/>
      </c>
      <c r="R8" s="24">
        <f>('Scénarios 18 mois'!R8+'Scénarios 18 mois'!R9)*ue_TTS_TTC*(1-'Hypothèses'!R149)-'Scénarios 18 mois'!R9*ue_TTS_TTC*h_CREA_COMM</f>
        <v/>
      </c>
      <c r="S8" s="24">
        <f>('Scénarios 18 mois'!S8+'Scénarios 18 mois'!S9)*ue_TTS_TTC*(1-'Hypothèses'!S149)-'Scénarios 18 mois'!S9*ue_TTS_TTC*h_CREA_COMM</f>
        <v/>
      </c>
      <c r="T8" s="24">
        <f>('Scénarios 18 mois'!T8+'Scénarios 18 mois'!T9)*ue_TTS_TTC*(1-'Hypothèses'!T149)-'Scénarios 18 mois'!T9*ue_TTS_TTC*h_CREA_COMM</f>
        <v/>
      </c>
    </row>
    <row r="9">
      <c r="A9" s="20" t="inlineStr">
        <is>
          <t>Délai d'encaissement TikTok Shop (jours)</t>
        </is>
      </c>
      <c r="C9" s="16">
        <f>'Hypothèses'!C156</f>
        <v/>
      </c>
      <c r="D9" s="16">
        <f>'Hypothèses'!D156</f>
        <v/>
      </c>
      <c r="E9" s="16">
        <f>'Hypothèses'!E156</f>
        <v/>
      </c>
      <c r="F9" s="16">
        <f>'Hypothèses'!F156</f>
        <v/>
      </c>
      <c r="G9" s="16">
        <f>'Hypothèses'!G156</f>
        <v/>
      </c>
      <c r="H9" s="16">
        <f>'Hypothèses'!H156</f>
        <v/>
      </c>
      <c r="I9" s="16">
        <f>'Hypothèses'!I156</f>
        <v/>
      </c>
      <c r="J9" s="16">
        <f>'Hypothèses'!J156</f>
        <v/>
      </c>
      <c r="K9" s="16">
        <f>'Hypothèses'!K156</f>
        <v/>
      </c>
      <c r="L9" s="16">
        <f>'Hypothèses'!L156</f>
        <v/>
      </c>
      <c r="M9" s="16">
        <f>'Hypothèses'!M156</f>
        <v/>
      </c>
      <c r="N9" s="16">
        <f>'Hypothèses'!N156</f>
        <v/>
      </c>
      <c r="O9" s="16">
        <f>'Hypothèses'!O156</f>
        <v/>
      </c>
      <c r="P9" s="16">
        <f>'Hypothèses'!P156</f>
        <v/>
      </c>
      <c r="Q9" s="16">
        <f>'Hypothèses'!Q156</f>
        <v/>
      </c>
      <c r="R9" s="16">
        <f>'Hypothèses'!R156</f>
        <v/>
      </c>
      <c r="S9" s="16">
        <f>'Hypothèses'!S156</f>
        <v/>
      </c>
      <c r="T9" s="16">
        <f>'Hypothèses'!T156</f>
        <v/>
      </c>
    </row>
    <row r="10">
      <c r="A10" s="20" t="inlineStr">
        <is>
          <t>Part encaissée le mois même</t>
        </is>
      </c>
      <c r="C10" s="11">
        <f>MAX(0,1-C9/30)</f>
        <v/>
      </c>
      <c r="D10" s="11">
        <f>MAX(0,1-D9/30)</f>
        <v/>
      </c>
      <c r="E10" s="11">
        <f>MAX(0,1-E9/30)</f>
        <v/>
      </c>
      <c r="F10" s="11">
        <f>MAX(0,1-F9/30)</f>
        <v/>
      </c>
      <c r="G10" s="11">
        <f>MAX(0,1-G9/30)</f>
        <v/>
      </c>
      <c r="H10" s="11">
        <f>MAX(0,1-H9/30)</f>
        <v/>
      </c>
      <c r="I10" s="11">
        <f>MAX(0,1-I9/30)</f>
        <v/>
      </c>
      <c r="J10" s="11">
        <f>MAX(0,1-J9/30)</f>
        <v/>
      </c>
      <c r="K10" s="11">
        <f>MAX(0,1-K9/30)</f>
        <v/>
      </c>
      <c r="L10" s="11">
        <f>MAX(0,1-L9/30)</f>
        <v/>
      </c>
      <c r="M10" s="11">
        <f>MAX(0,1-M9/30)</f>
        <v/>
      </c>
      <c r="N10" s="11">
        <f>MAX(0,1-N9/30)</f>
        <v/>
      </c>
      <c r="O10" s="11">
        <f>MAX(0,1-O9/30)</f>
        <v/>
      </c>
      <c r="P10" s="11">
        <f>MAX(0,1-P9/30)</f>
        <v/>
      </c>
      <c r="Q10" s="11">
        <f>MAX(0,1-Q9/30)</f>
        <v/>
      </c>
      <c r="R10" s="11">
        <f>MAX(0,1-R9/30)</f>
        <v/>
      </c>
      <c r="S10" s="11">
        <f>MAX(0,1-S9/30)</f>
        <v/>
      </c>
      <c r="T10" s="11">
        <f>MAX(0,1-T9/30)</f>
        <v/>
      </c>
    </row>
    <row r="11">
      <c r="A11" s="20" t="inlineStr">
        <is>
          <t>Part encaissée le mois suivant</t>
        </is>
      </c>
      <c r="C11" s="11">
        <f>IF(C9&lt;=30,C9/30,(60-C9)/30)</f>
        <v/>
      </c>
      <c r="D11" s="11">
        <f>IF(D9&lt;=30,D9/30,(60-D9)/30)</f>
        <v/>
      </c>
      <c r="E11" s="11">
        <f>IF(E9&lt;=30,E9/30,(60-E9)/30)</f>
        <v/>
      </c>
      <c r="F11" s="11">
        <f>IF(F9&lt;=30,F9/30,(60-F9)/30)</f>
        <v/>
      </c>
      <c r="G11" s="11">
        <f>IF(G9&lt;=30,G9/30,(60-G9)/30)</f>
        <v/>
      </c>
      <c r="H11" s="11">
        <f>IF(H9&lt;=30,H9/30,(60-H9)/30)</f>
        <v/>
      </c>
      <c r="I11" s="11">
        <f>IF(I9&lt;=30,I9/30,(60-I9)/30)</f>
        <v/>
      </c>
      <c r="J11" s="11">
        <f>IF(J9&lt;=30,J9/30,(60-J9)/30)</f>
        <v/>
      </c>
      <c r="K11" s="11">
        <f>IF(K9&lt;=30,K9/30,(60-K9)/30)</f>
        <v/>
      </c>
      <c r="L11" s="11">
        <f>IF(L9&lt;=30,L9/30,(60-L9)/30)</f>
        <v/>
      </c>
      <c r="M11" s="11">
        <f>IF(M9&lt;=30,M9/30,(60-M9)/30)</f>
        <v/>
      </c>
      <c r="N11" s="11">
        <f>IF(N9&lt;=30,N9/30,(60-N9)/30)</f>
        <v/>
      </c>
      <c r="O11" s="11">
        <f>IF(O9&lt;=30,O9/30,(60-O9)/30)</f>
        <v/>
      </c>
      <c r="P11" s="11">
        <f>IF(P9&lt;=30,P9/30,(60-P9)/30)</f>
        <v/>
      </c>
      <c r="Q11" s="11">
        <f>IF(Q9&lt;=30,Q9/30,(60-Q9)/30)</f>
        <v/>
      </c>
      <c r="R11" s="11">
        <f>IF(R9&lt;=30,R9/30,(60-R9)/30)</f>
        <v/>
      </c>
      <c r="S11" s="11">
        <f>IF(S9&lt;=30,S9/30,(60-S9)/30)</f>
        <v/>
      </c>
      <c r="T11" s="11">
        <f>IF(T9&lt;=30,T9/30,(60-T9)/30)</f>
        <v/>
      </c>
    </row>
    <row r="12">
      <c r="A12" s="20" t="inlineStr">
        <is>
          <t>Part encaissée à M+2</t>
        </is>
      </c>
      <c r="C12" s="11">
        <f>MAX(0,(C9-30)/30)</f>
        <v/>
      </c>
      <c r="D12" s="11">
        <f>MAX(0,(D9-30)/30)</f>
        <v/>
      </c>
      <c r="E12" s="11">
        <f>MAX(0,(E9-30)/30)</f>
        <v/>
      </c>
      <c r="F12" s="11">
        <f>MAX(0,(F9-30)/30)</f>
        <v/>
      </c>
      <c r="G12" s="11">
        <f>MAX(0,(G9-30)/30)</f>
        <v/>
      </c>
      <c r="H12" s="11">
        <f>MAX(0,(H9-30)/30)</f>
        <v/>
      </c>
      <c r="I12" s="11">
        <f>MAX(0,(I9-30)/30)</f>
        <v/>
      </c>
      <c r="J12" s="11">
        <f>MAX(0,(J9-30)/30)</f>
        <v/>
      </c>
      <c r="K12" s="11">
        <f>MAX(0,(K9-30)/30)</f>
        <v/>
      </c>
      <c r="L12" s="11">
        <f>MAX(0,(L9-30)/30)</f>
        <v/>
      </c>
      <c r="M12" s="11">
        <f>MAX(0,(M9-30)/30)</f>
        <v/>
      </c>
      <c r="N12" s="11">
        <f>MAX(0,(N9-30)/30)</f>
        <v/>
      </c>
      <c r="O12" s="11">
        <f>MAX(0,(O9-30)/30)</f>
        <v/>
      </c>
      <c r="P12" s="11">
        <f>MAX(0,(P9-30)/30)</f>
        <v/>
      </c>
      <c r="Q12" s="11">
        <f>MAX(0,(Q9-30)/30)</f>
        <v/>
      </c>
      <c r="R12" s="11">
        <f>MAX(0,(R9-30)/30)</f>
        <v/>
      </c>
      <c r="S12" s="11">
        <f>MAX(0,(S9-30)/30)</f>
        <v/>
      </c>
      <c r="T12" s="11">
        <f>MAX(0,(T9-30)/30)</f>
        <v/>
      </c>
    </row>
    <row r="13">
      <c r="A13" s="20" t="inlineStr">
        <is>
          <t>Encaissement TikTok Shop</t>
        </is>
      </c>
      <c r="C13" s="24">
        <f>C8*C10</f>
        <v/>
      </c>
      <c r="D13" s="24">
        <f>D8*D10+C8*C11</f>
        <v/>
      </c>
      <c r="E13" s="24">
        <f>E8*E10+D8*D11+C8*C12</f>
        <v/>
      </c>
      <c r="F13" s="24">
        <f>F8*F10+E8*E11+D8*D12</f>
        <v/>
      </c>
      <c r="G13" s="24">
        <f>G8*G10+F8*F11+E8*E12</f>
        <v/>
      </c>
      <c r="H13" s="24">
        <f>H8*H10+G8*G11+F8*F12</f>
        <v/>
      </c>
      <c r="I13" s="24">
        <f>I8*I10+H8*H11+G8*G12</f>
        <v/>
      </c>
      <c r="J13" s="24">
        <f>J8*J10+I8*I11+H8*H12</f>
        <v/>
      </c>
      <c r="K13" s="24">
        <f>K8*K10+J8*J11+I8*I12</f>
        <v/>
      </c>
      <c r="L13" s="24">
        <f>L8*L10+K8*K11+J8*J12</f>
        <v/>
      </c>
      <c r="M13" s="24">
        <f>M8*M10+L8*L11+K8*K12</f>
        <v/>
      </c>
      <c r="N13" s="24">
        <f>N8*N10+M8*M11+L8*L12</f>
        <v/>
      </c>
      <c r="O13" s="24">
        <f>O8*O10+N8*N11+M8*M12</f>
        <v/>
      </c>
      <c r="P13" s="24">
        <f>P8*P10+O8*O11+N8*N12</f>
        <v/>
      </c>
      <c r="Q13" s="24">
        <f>Q8*Q10+P8*P11+O8*O12</f>
        <v/>
      </c>
      <c r="R13" s="24">
        <f>R8*R10+Q8*Q11+P8*P12</f>
        <v/>
      </c>
      <c r="S13" s="24">
        <f>S8*S10+R8*R11+Q8*Q12</f>
        <v/>
      </c>
      <c r="T13" s="24">
        <f>T8*T10+S8*S11+R8*R12</f>
        <v/>
      </c>
      <c r="U13" s="25">
        <f>SUM(C13:T13)</f>
        <v/>
      </c>
    </row>
    <row r="14">
      <c r="A14" s="22" t="inlineStr">
        <is>
          <t>Total des encaissements</t>
        </is>
      </c>
      <c r="C14" s="25">
        <f>C7+C13</f>
        <v/>
      </c>
      <c r="D14" s="25">
        <f>D7+D13</f>
        <v/>
      </c>
      <c r="E14" s="25">
        <f>E7+E13</f>
        <v/>
      </c>
      <c r="F14" s="25">
        <f>F7+F13</f>
        <v/>
      </c>
      <c r="G14" s="25">
        <f>G7+G13</f>
        <v/>
      </c>
      <c r="H14" s="25">
        <f>H7+H13</f>
        <v/>
      </c>
      <c r="I14" s="25">
        <f>I7+I13</f>
        <v/>
      </c>
      <c r="J14" s="25">
        <f>J7+J13</f>
        <v/>
      </c>
      <c r="K14" s="25">
        <f>K7+K13</f>
        <v/>
      </c>
      <c r="L14" s="25">
        <f>L7+L13</f>
        <v/>
      </c>
      <c r="M14" s="25">
        <f>M7+M13</f>
        <v/>
      </c>
      <c r="N14" s="25">
        <f>N7+N13</f>
        <v/>
      </c>
      <c r="O14" s="25">
        <f>O7+O13</f>
        <v/>
      </c>
      <c r="P14" s="25">
        <f>P7+P13</f>
        <v/>
      </c>
      <c r="Q14" s="25">
        <f>Q7+Q13</f>
        <v/>
      </c>
      <c r="R14" s="25">
        <f>R7+R13</f>
        <v/>
      </c>
      <c r="S14" s="25">
        <f>S7+S13</f>
        <v/>
      </c>
      <c r="T14" s="25">
        <f>T7+T13</f>
        <v/>
      </c>
      <c r="U14" s="25">
        <f>SUM(C14:T14)</f>
        <v/>
      </c>
    </row>
    <row r="15">
      <c r="A15" s="20" t="inlineStr">
        <is>
          <t>Stock en fin de mois (coût HT)</t>
        </is>
      </c>
      <c r="C15" s="24">
        <f>'Hypothèses'!C154*'Scénarios 18 mois'!D16</f>
        <v/>
      </c>
      <c r="D15" s="24">
        <f>'Hypothèses'!D154*'Scénarios 18 mois'!E16</f>
        <v/>
      </c>
      <c r="E15" s="24">
        <f>'Hypothèses'!E154*'Scénarios 18 mois'!F16</f>
        <v/>
      </c>
      <c r="F15" s="24">
        <f>'Hypothèses'!F154*'Scénarios 18 mois'!G16</f>
        <v/>
      </c>
      <c r="G15" s="24">
        <f>'Hypothèses'!G154*'Scénarios 18 mois'!H16</f>
        <v/>
      </c>
      <c r="H15" s="24">
        <f>'Hypothèses'!H154*'Scénarios 18 mois'!I16</f>
        <v/>
      </c>
      <c r="I15" s="24">
        <f>'Hypothèses'!I154*'Scénarios 18 mois'!J16</f>
        <v/>
      </c>
      <c r="J15" s="24">
        <f>'Hypothèses'!J154*'Scénarios 18 mois'!K16</f>
        <v/>
      </c>
      <c r="K15" s="24">
        <f>'Hypothèses'!K154*'Scénarios 18 mois'!L16</f>
        <v/>
      </c>
      <c r="L15" s="24">
        <f>'Hypothèses'!L154*'Scénarios 18 mois'!M16</f>
        <v/>
      </c>
      <c r="M15" s="24">
        <f>'Hypothèses'!M154*'Scénarios 18 mois'!N16</f>
        <v/>
      </c>
      <c r="N15" s="24">
        <f>'Hypothèses'!N154*'Scénarios 18 mois'!O16</f>
        <v/>
      </c>
      <c r="O15" s="24">
        <f>'Hypothèses'!O154*'Scénarios 18 mois'!P16</f>
        <v/>
      </c>
      <c r="P15" s="24">
        <f>'Hypothèses'!P154*'Scénarios 18 mois'!Q16</f>
        <v/>
      </c>
      <c r="Q15" s="24">
        <f>'Hypothèses'!Q154*'Scénarios 18 mois'!R16</f>
        <v/>
      </c>
      <c r="R15" s="24">
        <f>'Hypothèses'!R154*'Scénarios 18 mois'!S16</f>
        <v/>
      </c>
      <c r="S15" s="24">
        <f>'Hypothèses'!S154*'Scénarios 18 mois'!T16</f>
        <v/>
      </c>
      <c r="T15" s="24">
        <f>'Hypothèses'!T154*'Scénarios 18 mois'!T16</f>
        <v/>
      </c>
    </row>
    <row r="16">
      <c r="A16" s="20" t="inlineStr">
        <is>
          <t>Achats de stock HT (payés à la commande)</t>
        </is>
      </c>
      <c r="C16" s="24">
        <f>'Scénarios 18 mois'!C16+C15</f>
        <v/>
      </c>
      <c r="D16" s="24">
        <f>'Scénarios 18 mois'!D16+D15-C15</f>
        <v/>
      </c>
      <c r="E16" s="24">
        <f>'Scénarios 18 mois'!E16+E15-D15</f>
        <v/>
      </c>
      <c r="F16" s="24">
        <f>'Scénarios 18 mois'!F16+F15-E15</f>
        <v/>
      </c>
      <c r="G16" s="24">
        <f>'Scénarios 18 mois'!G16+G15-F15</f>
        <v/>
      </c>
      <c r="H16" s="24">
        <f>'Scénarios 18 mois'!H16+H15-G15</f>
        <v/>
      </c>
      <c r="I16" s="24">
        <f>'Scénarios 18 mois'!I16+I15-H15</f>
        <v/>
      </c>
      <c r="J16" s="24">
        <f>'Scénarios 18 mois'!J16+J15-I15</f>
        <v/>
      </c>
      <c r="K16" s="24">
        <f>'Scénarios 18 mois'!K16+K15-J15</f>
        <v/>
      </c>
      <c r="L16" s="24">
        <f>'Scénarios 18 mois'!L16+L15-K15</f>
        <v/>
      </c>
      <c r="M16" s="24">
        <f>'Scénarios 18 mois'!M16+M15-L15</f>
        <v/>
      </c>
      <c r="N16" s="24">
        <f>'Scénarios 18 mois'!N16+N15-M15</f>
        <v/>
      </c>
      <c r="O16" s="24">
        <f>'Scénarios 18 mois'!O16+O15-N15</f>
        <v/>
      </c>
      <c r="P16" s="24">
        <f>'Scénarios 18 mois'!P16+P15-O15</f>
        <v/>
      </c>
      <c r="Q16" s="24">
        <f>'Scénarios 18 mois'!Q16+Q15-P15</f>
        <v/>
      </c>
      <c r="R16" s="24">
        <f>'Scénarios 18 mois'!R16+R15-Q15</f>
        <v/>
      </c>
      <c r="S16" s="24">
        <f>'Scénarios 18 mois'!S16+S15-R15</f>
        <v/>
      </c>
      <c r="T16" s="24">
        <f>'Scénarios 18 mois'!T16+T15-S15</f>
        <v/>
      </c>
      <c r="U16" s="25">
        <f>SUM(C16:T16)</f>
        <v/>
      </c>
    </row>
    <row r="17">
      <c r="A17" s="20" t="inlineStr">
        <is>
          <t>Achat en import groupé (TVA autoliquidée, 1 = oui)</t>
        </is>
      </c>
      <c r="C17" s="27">
        <f>'Hypothèses'!D150</f>
        <v/>
      </c>
      <c r="D17" s="27">
        <f>'Hypothèses'!E150</f>
        <v/>
      </c>
      <c r="E17" s="27">
        <f>'Hypothèses'!F150</f>
        <v/>
      </c>
      <c r="F17" s="27">
        <f>'Hypothèses'!G150</f>
        <v/>
      </c>
      <c r="G17" s="27">
        <f>'Hypothèses'!H150</f>
        <v/>
      </c>
      <c r="H17" s="27">
        <f>'Hypothèses'!I150</f>
        <v/>
      </c>
      <c r="I17" s="27">
        <f>'Hypothèses'!J150</f>
        <v/>
      </c>
      <c r="J17" s="27">
        <f>'Hypothèses'!K150</f>
        <v/>
      </c>
      <c r="K17" s="27">
        <f>'Hypothèses'!L150</f>
        <v/>
      </c>
      <c r="L17" s="27">
        <f>'Hypothèses'!M150</f>
        <v/>
      </c>
      <c r="M17" s="27">
        <f>'Hypothèses'!N150</f>
        <v/>
      </c>
      <c r="N17" s="27">
        <f>'Hypothèses'!O150</f>
        <v/>
      </c>
      <c r="O17" s="27">
        <f>'Hypothèses'!P150</f>
        <v/>
      </c>
      <c r="P17" s="27">
        <f>'Hypothèses'!Q150</f>
        <v/>
      </c>
      <c r="Q17" s="27">
        <f>'Hypothèses'!R150</f>
        <v/>
      </c>
      <c r="R17" s="27">
        <f>'Hypothèses'!S150</f>
        <v/>
      </c>
      <c r="S17" s="27">
        <f>'Hypothèses'!T150</f>
        <v/>
      </c>
      <c r="T17" s="27">
        <f>'Hypothèses'!T150</f>
        <v/>
      </c>
    </row>
    <row r="18">
      <c r="A18" s="20" t="inlineStr">
        <is>
          <t>TVA payée sur achats de micro-stock</t>
        </is>
      </c>
      <c r="C18" s="24">
        <f>h_TVA*C16*(1-C17)</f>
        <v/>
      </c>
      <c r="D18" s="24">
        <f>h_TVA*D16*(1-D17)</f>
        <v/>
      </c>
      <c r="E18" s="24">
        <f>h_TVA*E16*(1-E17)</f>
        <v/>
      </c>
      <c r="F18" s="24">
        <f>h_TVA*F16*(1-F17)</f>
        <v/>
      </c>
      <c r="G18" s="24">
        <f>h_TVA*G16*(1-G17)</f>
        <v/>
      </c>
      <c r="H18" s="24">
        <f>h_TVA*H16*(1-H17)</f>
        <v/>
      </c>
      <c r="I18" s="24">
        <f>h_TVA*I16*(1-I17)</f>
        <v/>
      </c>
      <c r="J18" s="24">
        <f>h_TVA*J16*(1-J17)</f>
        <v/>
      </c>
      <c r="K18" s="24">
        <f>h_TVA*K16*(1-K17)</f>
        <v/>
      </c>
      <c r="L18" s="24">
        <f>h_TVA*L16*(1-L17)</f>
        <v/>
      </c>
      <c r="M18" s="24">
        <f>h_TVA*M16*(1-M17)</f>
        <v/>
      </c>
      <c r="N18" s="24">
        <f>h_TVA*N16*(1-N17)</f>
        <v/>
      </c>
      <c r="O18" s="24">
        <f>h_TVA*O16*(1-O17)</f>
        <v/>
      </c>
      <c r="P18" s="24">
        <f>h_TVA*P16*(1-P17)</f>
        <v/>
      </c>
      <c r="Q18" s="24">
        <f>h_TVA*Q16*(1-Q17)</f>
        <v/>
      </c>
      <c r="R18" s="24">
        <f>h_TVA*R16*(1-R17)</f>
        <v/>
      </c>
      <c r="S18" s="24">
        <f>h_TVA*S16*(1-S17)</f>
        <v/>
      </c>
      <c r="T18" s="24">
        <f>h_TVA*T16*(1-T17)</f>
        <v/>
      </c>
      <c r="U18" s="25">
        <f>SUM(C18:T18)</f>
        <v/>
      </c>
    </row>
    <row r="19">
      <c r="A19" s="20" t="inlineStr">
        <is>
          <t>Étiquettes, emballage, 3PL (TTC)</t>
        </is>
      </c>
      <c r="C19" s="24">
        <f>'Scénarios 18 mois'!C17*(1+h_TVA)</f>
        <v/>
      </c>
      <c r="D19" s="24">
        <f>'Scénarios 18 mois'!D17*(1+h_TVA)</f>
        <v/>
      </c>
      <c r="E19" s="24">
        <f>'Scénarios 18 mois'!E17*(1+h_TVA)</f>
        <v/>
      </c>
      <c r="F19" s="24">
        <f>'Scénarios 18 mois'!F17*(1+h_TVA)</f>
        <v/>
      </c>
      <c r="G19" s="24">
        <f>'Scénarios 18 mois'!G17*(1+h_TVA)</f>
        <v/>
      </c>
      <c r="H19" s="24">
        <f>'Scénarios 18 mois'!H17*(1+h_TVA)</f>
        <v/>
      </c>
      <c r="I19" s="24">
        <f>'Scénarios 18 mois'!I17*(1+h_TVA)</f>
        <v/>
      </c>
      <c r="J19" s="24">
        <f>'Scénarios 18 mois'!J17*(1+h_TVA)</f>
        <v/>
      </c>
      <c r="K19" s="24">
        <f>'Scénarios 18 mois'!K17*(1+h_TVA)</f>
        <v/>
      </c>
      <c r="L19" s="24">
        <f>'Scénarios 18 mois'!L17*(1+h_TVA)</f>
        <v/>
      </c>
      <c r="M19" s="24">
        <f>'Scénarios 18 mois'!M17*(1+h_TVA)</f>
        <v/>
      </c>
      <c r="N19" s="24">
        <f>'Scénarios 18 mois'!N17*(1+h_TVA)</f>
        <v/>
      </c>
      <c r="O19" s="24">
        <f>'Scénarios 18 mois'!O17*(1+h_TVA)</f>
        <v/>
      </c>
      <c r="P19" s="24">
        <f>'Scénarios 18 mois'!P17*(1+h_TVA)</f>
        <v/>
      </c>
      <c r="Q19" s="24">
        <f>'Scénarios 18 mois'!Q17*(1+h_TVA)</f>
        <v/>
      </c>
      <c r="R19" s="24">
        <f>'Scénarios 18 mois'!R17*(1+h_TVA)</f>
        <v/>
      </c>
      <c r="S19" s="24">
        <f>'Scénarios 18 mois'!S17*(1+h_TVA)</f>
        <v/>
      </c>
      <c r="T19" s="24">
        <f>'Scénarios 18 mois'!T17*(1+h_TVA)</f>
        <v/>
      </c>
      <c r="U19" s="25">
        <f>SUM(C19:T19)</f>
        <v/>
      </c>
    </row>
    <row r="20">
      <c r="A20" s="20" t="inlineStr">
        <is>
          <t>Publicité</t>
        </is>
      </c>
      <c r="C20" s="24">
        <f>'Scénarios 18 mois'!C23</f>
        <v/>
      </c>
      <c r="D20" s="24">
        <f>'Scénarios 18 mois'!D23</f>
        <v/>
      </c>
      <c r="E20" s="24">
        <f>'Scénarios 18 mois'!E23</f>
        <v/>
      </c>
      <c r="F20" s="24">
        <f>'Scénarios 18 mois'!F23</f>
        <v/>
      </c>
      <c r="G20" s="24">
        <f>'Scénarios 18 mois'!G23</f>
        <v/>
      </c>
      <c r="H20" s="24">
        <f>'Scénarios 18 mois'!H23</f>
        <v/>
      </c>
      <c r="I20" s="24">
        <f>'Scénarios 18 mois'!I23</f>
        <v/>
      </c>
      <c r="J20" s="24">
        <f>'Scénarios 18 mois'!J23</f>
        <v/>
      </c>
      <c r="K20" s="24">
        <f>'Scénarios 18 mois'!K23</f>
        <v/>
      </c>
      <c r="L20" s="24">
        <f>'Scénarios 18 mois'!L23</f>
        <v/>
      </c>
      <c r="M20" s="24">
        <f>'Scénarios 18 mois'!M23</f>
        <v/>
      </c>
      <c r="N20" s="24">
        <f>'Scénarios 18 mois'!N23</f>
        <v/>
      </c>
      <c r="O20" s="24">
        <f>'Scénarios 18 mois'!O23</f>
        <v/>
      </c>
      <c r="P20" s="24">
        <f>'Scénarios 18 mois'!P23</f>
        <v/>
      </c>
      <c r="Q20" s="24">
        <f>'Scénarios 18 mois'!Q23</f>
        <v/>
      </c>
      <c r="R20" s="24">
        <f>'Scénarios 18 mois'!R23</f>
        <v/>
      </c>
      <c r="S20" s="24">
        <f>'Scénarios 18 mois'!S23</f>
        <v/>
      </c>
      <c r="T20" s="24">
        <f>'Scénarios 18 mois'!T23</f>
        <v/>
      </c>
      <c r="U20" s="25">
        <f>SUM(C20:T20)</f>
        <v/>
      </c>
    </row>
    <row r="21">
      <c r="A21" s="20" t="inlineStr">
        <is>
          <t>Échantillons créateurs</t>
        </is>
      </c>
      <c r="C21" s="24">
        <f>'Scénarios 18 mois'!C24</f>
        <v/>
      </c>
      <c r="D21" s="24">
        <f>'Scénarios 18 mois'!D24</f>
        <v/>
      </c>
      <c r="E21" s="24">
        <f>'Scénarios 18 mois'!E24</f>
        <v/>
      </c>
      <c r="F21" s="24">
        <f>'Scénarios 18 mois'!F24</f>
        <v/>
      </c>
      <c r="G21" s="24">
        <f>'Scénarios 18 mois'!G24</f>
        <v/>
      </c>
      <c r="H21" s="24">
        <f>'Scénarios 18 mois'!H24</f>
        <v/>
      </c>
      <c r="I21" s="24">
        <f>'Scénarios 18 mois'!I24</f>
        <v/>
      </c>
      <c r="J21" s="24">
        <f>'Scénarios 18 mois'!J24</f>
        <v/>
      </c>
      <c r="K21" s="24">
        <f>'Scénarios 18 mois'!K24</f>
        <v/>
      </c>
      <c r="L21" s="24">
        <f>'Scénarios 18 mois'!L24</f>
        <v/>
      </c>
      <c r="M21" s="24">
        <f>'Scénarios 18 mois'!M24</f>
        <v/>
      </c>
      <c r="N21" s="24">
        <f>'Scénarios 18 mois'!N24</f>
        <v/>
      </c>
      <c r="O21" s="24">
        <f>'Scénarios 18 mois'!O24</f>
        <v/>
      </c>
      <c r="P21" s="24">
        <f>'Scénarios 18 mois'!P24</f>
        <v/>
      </c>
      <c r="Q21" s="24">
        <f>'Scénarios 18 mois'!Q24</f>
        <v/>
      </c>
      <c r="R21" s="24">
        <f>'Scénarios 18 mois'!R24</f>
        <v/>
      </c>
      <c r="S21" s="24">
        <f>'Scénarios 18 mois'!S24</f>
        <v/>
      </c>
      <c r="T21" s="24">
        <f>'Scénarios 18 mois'!T24</f>
        <v/>
      </c>
      <c r="U21" s="25">
        <f>SUM(C21:T21)</f>
        <v/>
      </c>
    </row>
    <row r="22">
      <c r="A22" s="20" t="inlineStr">
        <is>
          <t>Frais fixes et ponctuels</t>
        </is>
      </c>
      <c r="C22" s="24">
        <f>'Scénarios 18 mois'!C25</f>
        <v/>
      </c>
      <c r="D22" s="24">
        <f>'Scénarios 18 mois'!D25</f>
        <v/>
      </c>
      <c r="E22" s="24">
        <f>'Scénarios 18 mois'!E25</f>
        <v/>
      </c>
      <c r="F22" s="24">
        <f>'Scénarios 18 mois'!F25</f>
        <v/>
      </c>
      <c r="G22" s="24">
        <f>'Scénarios 18 mois'!G25</f>
        <v/>
      </c>
      <c r="H22" s="24">
        <f>'Scénarios 18 mois'!H25</f>
        <v/>
      </c>
      <c r="I22" s="24">
        <f>'Scénarios 18 mois'!I25</f>
        <v/>
      </c>
      <c r="J22" s="24">
        <f>'Scénarios 18 mois'!J25</f>
        <v/>
      </c>
      <c r="K22" s="24">
        <f>'Scénarios 18 mois'!K25</f>
        <v/>
      </c>
      <c r="L22" s="24">
        <f>'Scénarios 18 mois'!L25</f>
        <v/>
      </c>
      <c r="M22" s="24">
        <f>'Scénarios 18 mois'!M25</f>
        <v/>
      </c>
      <c r="N22" s="24">
        <f>'Scénarios 18 mois'!N25</f>
        <v/>
      </c>
      <c r="O22" s="24">
        <f>'Scénarios 18 mois'!O25</f>
        <v/>
      </c>
      <c r="P22" s="24">
        <f>'Scénarios 18 mois'!P25</f>
        <v/>
      </c>
      <c r="Q22" s="24">
        <f>'Scénarios 18 mois'!Q25</f>
        <v/>
      </c>
      <c r="R22" s="24">
        <f>'Scénarios 18 mois'!R25</f>
        <v/>
      </c>
      <c r="S22" s="24">
        <f>'Scénarios 18 mois'!S25</f>
        <v/>
      </c>
      <c r="T22" s="24">
        <f>'Scénarios 18 mois'!T25</f>
        <v/>
      </c>
      <c r="U22" s="25">
        <f>SUM(C22:T22)</f>
        <v/>
      </c>
    </row>
    <row r="23">
      <c r="A23" s="20" t="inlineStr">
        <is>
          <t>Remboursements clients et SAV</t>
        </is>
      </c>
      <c r="C23" s="24">
        <f>'Scénarios 18 mois'!C21</f>
        <v/>
      </c>
      <c r="D23" s="24">
        <f>'Scénarios 18 mois'!D21</f>
        <v/>
      </c>
      <c r="E23" s="24">
        <f>'Scénarios 18 mois'!E21</f>
        <v/>
      </c>
      <c r="F23" s="24">
        <f>'Scénarios 18 mois'!F21</f>
        <v/>
      </c>
      <c r="G23" s="24">
        <f>'Scénarios 18 mois'!G21</f>
        <v/>
      </c>
      <c r="H23" s="24">
        <f>'Scénarios 18 mois'!H21</f>
        <v/>
      </c>
      <c r="I23" s="24">
        <f>'Scénarios 18 mois'!I21</f>
        <v/>
      </c>
      <c r="J23" s="24">
        <f>'Scénarios 18 mois'!J21</f>
        <v/>
      </c>
      <c r="K23" s="24">
        <f>'Scénarios 18 mois'!K21</f>
        <v/>
      </c>
      <c r="L23" s="24">
        <f>'Scénarios 18 mois'!L21</f>
        <v/>
      </c>
      <c r="M23" s="24">
        <f>'Scénarios 18 mois'!M21</f>
        <v/>
      </c>
      <c r="N23" s="24">
        <f>'Scénarios 18 mois'!N21</f>
        <v/>
      </c>
      <c r="O23" s="24">
        <f>'Scénarios 18 mois'!O21</f>
        <v/>
      </c>
      <c r="P23" s="24">
        <f>'Scénarios 18 mois'!P21</f>
        <v/>
      </c>
      <c r="Q23" s="24">
        <f>'Scénarios 18 mois'!Q21</f>
        <v/>
      </c>
      <c r="R23" s="24">
        <f>'Scénarios 18 mois'!R21</f>
        <v/>
      </c>
      <c r="S23" s="24">
        <f>'Scénarios 18 mois'!S21</f>
        <v/>
      </c>
      <c r="T23" s="24">
        <f>'Scénarios 18 mois'!T21</f>
        <v/>
      </c>
      <c r="U23" s="25">
        <f>SUM(C23:T23)</f>
        <v/>
      </c>
    </row>
    <row r="24">
      <c r="A24" s="20" t="inlineStr">
        <is>
          <t>TVA déductible du mois</t>
        </is>
      </c>
      <c r="C24" s="24">
        <f>C18+h_TVA*'Scénarios 18 mois'!C17</f>
        <v/>
      </c>
      <c r="D24" s="24">
        <f>D18+h_TVA*'Scénarios 18 mois'!D17</f>
        <v/>
      </c>
      <c r="E24" s="24">
        <f>E18+h_TVA*'Scénarios 18 mois'!E17</f>
        <v/>
      </c>
      <c r="F24" s="24">
        <f>F18+h_TVA*'Scénarios 18 mois'!F17</f>
        <v/>
      </c>
      <c r="G24" s="24">
        <f>G18+h_TVA*'Scénarios 18 mois'!G17</f>
        <v/>
      </c>
      <c r="H24" s="24">
        <f>H18+h_TVA*'Scénarios 18 mois'!H17</f>
        <v/>
      </c>
      <c r="I24" s="24">
        <f>I18+h_TVA*'Scénarios 18 mois'!I17</f>
        <v/>
      </c>
      <c r="J24" s="24">
        <f>J18+h_TVA*'Scénarios 18 mois'!J17</f>
        <v/>
      </c>
      <c r="K24" s="24">
        <f>K18+h_TVA*'Scénarios 18 mois'!K17</f>
        <v/>
      </c>
      <c r="L24" s="24">
        <f>L18+h_TVA*'Scénarios 18 mois'!L17</f>
        <v/>
      </c>
      <c r="M24" s="24">
        <f>M18+h_TVA*'Scénarios 18 mois'!M17</f>
        <v/>
      </c>
      <c r="N24" s="24">
        <f>N18+h_TVA*'Scénarios 18 mois'!N17</f>
        <v/>
      </c>
      <c r="O24" s="24">
        <f>O18+h_TVA*'Scénarios 18 mois'!O17</f>
        <v/>
      </c>
      <c r="P24" s="24">
        <f>P18+h_TVA*'Scénarios 18 mois'!P17</f>
        <v/>
      </c>
      <c r="Q24" s="24">
        <f>Q18+h_TVA*'Scénarios 18 mois'!Q17</f>
        <v/>
      </c>
      <c r="R24" s="24">
        <f>R18+h_TVA*'Scénarios 18 mois'!R17</f>
        <v/>
      </c>
      <c r="S24" s="24">
        <f>S18+h_TVA*'Scénarios 18 mois'!S17</f>
        <v/>
      </c>
      <c r="T24" s="24">
        <f>T18+h_TVA*'Scénarios 18 mois'!T17</f>
        <v/>
      </c>
    </row>
    <row r="25">
      <c r="A25" s="20" t="inlineStr">
        <is>
          <t>TVA nette reversée (mois suivant)</t>
        </is>
      </c>
      <c r="C25" s="24">
        <f>0</f>
        <v/>
      </c>
      <c r="D25" s="24">
        <f>'Scénarios 18 mois'!C15-C24</f>
        <v/>
      </c>
      <c r="E25" s="24">
        <f>'Scénarios 18 mois'!D15-D24</f>
        <v/>
      </c>
      <c r="F25" s="24">
        <f>'Scénarios 18 mois'!E15-E24</f>
        <v/>
      </c>
      <c r="G25" s="24">
        <f>'Scénarios 18 mois'!F15-F24</f>
        <v/>
      </c>
      <c r="H25" s="24">
        <f>'Scénarios 18 mois'!G15-G24</f>
        <v/>
      </c>
      <c r="I25" s="24">
        <f>'Scénarios 18 mois'!H15-H24</f>
        <v/>
      </c>
      <c r="J25" s="24">
        <f>'Scénarios 18 mois'!I15-I24</f>
        <v/>
      </c>
      <c r="K25" s="24">
        <f>'Scénarios 18 mois'!J15-J24</f>
        <v/>
      </c>
      <c r="L25" s="24">
        <f>'Scénarios 18 mois'!K15-K24</f>
        <v/>
      </c>
      <c r="M25" s="24">
        <f>'Scénarios 18 mois'!L15-L24</f>
        <v/>
      </c>
      <c r="N25" s="24">
        <f>'Scénarios 18 mois'!M15-M24</f>
        <v/>
      </c>
      <c r="O25" s="24">
        <f>'Scénarios 18 mois'!N15-N24</f>
        <v/>
      </c>
      <c r="P25" s="24">
        <f>'Scénarios 18 mois'!O15-O24</f>
        <v/>
      </c>
      <c r="Q25" s="24">
        <f>'Scénarios 18 mois'!P15-P24</f>
        <v/>
      </c>
      <c r="R25" s="24">
        <f>'Scénarios 18 mois'!Q15-Q24</f>
        <v/>
      </c>
      <c r="S25" s="24">
        <f>'Scénarios 18 mois'!R15-R24</f>
        <v/>
      </c>
      <c r="T25" s="24">
        <f>'Scénarios 18 mois'!S15-S24</f>
        <v/>
      </c>
      <c r="U25" s="25">
        <f>SUM(C25:T25)</f>
        <v/>
      </c>
    </row>
    <row r="26">
      <c r="A26" s="20" t="inlineStr">
        <is>
          <t>IS payé (solde 2027 dû en mai 2028, hors horizon)</t>
        </is>
      </c>
      <c r="C26" s="24">
        <f>0</f>
        <v/>
      </c>
      <c r="D26" s="24">
        <f>0</f>
        <v/>
      </c>
      <c r="E26" s="24">
        <f>0</f>
        <v/>
      </c>
      <c r="F26" s="24">
        <f>0</f>
        <v/>
      </c>
      <c r="G26" s="24">
        <f>0</f>
        <v/>
      </c>
      <c r="H26" s="24">
        <f>0</f>
        <v/>
      </c>
      <c r="I26" s="24">
        <f>0</f>
        <v/>
      </c>
      <c r="J26" s="24">
        <f>0</f>
        <v/>
      </c>
      <c r="K26" s="24">
        <f>0</f>
        <v/>
      </c>
      <c r="L26" s="24">
        <f>0</f>
        <v/>
      </c>
      <c r="M26" s="24">
        <f>0</f>
        <v/>
      </c>
      <c r="N26" s="24">
        <f>0</f>
        <v/>
      </c>
      <c r="O26" s="24">
        <f>0</f>
        <v/>
      </c>
      <c r="P26" s="24">
        <f>0</f>
        <v/>
      </c>
      <c r="Q26" s="24">
        <f>0</f>
        <v/>
      </c>
      <c r="R26" s="24">
        <f>0</f>
        <v/>
      </c>
      <c r="S26" s="24">
        <f>0</f>
        <v/>
      </c>
      <c r="T26" s="24">
        <f>0</f>
        <v/>
      </c>
    </row>
    <row r="27">
      <c r="A27" s="22" t="inlineStr">
        <is>
          <t>Total des décaissements</t>
        </is>
      </c>
      <c r="C27" s="25">
        <f>C16+C18+C19+C20+C21+C22+C23+C25+C26</f>
        <v/>
      </c>
      <c r="D27" s="25">
        <f>D16+D18+D19+D20+D21+D22+D23+D25+D26</f>
        <v/>
      </c>
      <c r="E27" s="25">
        <f>E16+E18+E19+E20+E21+E22+E23+E25+E26</f>
        <v/>
      </c>
      <c r="F27" s="25">
        <f>F16+F18+F19+F20+F21+F22+F23+F25+F26</f>
        <v/>
      </c>
      <c r="G27" s="25">
        <f>G16+G18+G19+G20+G21+G22+G23+G25+G26</f>
        <v/>
      </c>
      <c r="H27" s="25">
        <f>H16+H18+H19+H20+H21+H22+H23+H25+H26</f>
        <v/>
      </c>
      <c r="I27" s="25">
        <f>I16+I18+I19+I20+I21+I22+I23+I25+I26</f>
        <v/>
      </c>
      <c r="J27" s="25">
        <f>J16+J18+J19+J20+J21+J22+J23+J25+J26</f>
        <v/>
      </c>
      <c r="K27" s="25">
        <f>K16+K18+K19+K20+K21+K22+K23+K25+K26</f>
        <v/>
      </c>
      <c r="L27" s="25">
        <f>L16+L18+L19+L20+L21+L22+L23+L25+L26</f>
        <v/>
      </c>
      <c r="M27" s="25">
        <f>M16+M18+M19+M20+M21+M22+M23+M25+M26</f>
        <v/>
      </c>
      <c r="N27" s="25">
        <f>N16+N18+N19+N20+N21+N22+N23+N25+N26</f>
        <v/>
      </c>
      <c r="O27" s="25">
        <f>O16+O18+O19+O20+O21+O22+O23+O25+O26</f>
        <v/>
      </c>
      <c r="P27" s="25">
        <f>P16+P18+P19+P20+P21+P22+P23+P25+P26</f>
        <v/>
      </c>
      <c r="Q27" s="25">
        <f>Q16+Q18+Q19+Q20+Q21+Q22+Q23+Q25+Q26</f>
        <v/>
      </c>
      <c r="R27" s="25">
        <f>R16+R18+R19+R20+R21+R22+R23+R25+R26</f>
        <v/>
      </c>
      <c r="S27" s="25">
        <f>S16+S18+S19+S20+S21+S22+S23+S25+S26</f>
        <v/>
      </c>
      <c r="T27" s="25">
        <f>T16+T18+T19+T20+T21+T22+T23+T25+T26</f>
        <v/>
      </c>
      <c r="U27" s="25">
        <f>SUM(C27:T27)</f>
        <v/>
      </c>
    </row>
    <row r="28">
      <c r="A28" s="22" t="inlineStr">
        <is>
          <t>Flux de trésorerie du mois</t>
        </is>
      </c>
      <c r="C28" s="25">
        <f>C14-C27</f>
        <v/>
      </c>
      <c r="D28" s="25">
        <f>D14-D27</f>
        <v/>
      </c>
      <c r="E28" s="25">
        <f>E14-E27</f>
        <v/>
      </c>
      <c r="F28" s="25">
        <f>F14-F27</f>
        <v/>
      </c>
      <c r="G28" s="25">
        <f>G14-G27</f>
        <v/>
      </c>
      <c r="H28" s="25">
        <f>H14-H27</f>
        <v/>
      </c>
      <c r="I28" s="25">
        <f>I14-I27</f>
        <v/>
      </c>
      <c r="J28" s="25">
        <f>J14-J27</f>
        <v/>
      </c>
      <c r="K28" s="25">
        <f>K14-K27</f>
        <v/>
      </c>
      <c r="L28" s="25">
        <f>L14-L27</f>
        <v/>
      </c>
      <c r="M28" s="25">
        <f>M14-M27</f>
        <v/>
      </c>
      <c r="N28" s="25">
        <f>N14-N27</f>
        <v/>
      </c>
      <c r="O28" s="25">
        <f>O14-O27</f>
        <v/>
      </c>
      <c r="P28" s="25">
        <f>P14-P27</f>
        <v/>
      </c>
      <c r="Q28" s="25">
        <f>Q14-Q27</f>
        <v/>
      </c>
      <c r="R28" s="25">
        <f>R14-R27</f>
        <v/>
      </c>
      <c r="S28" s="25">
        <f>S14-S27</f>
        <v/>
      </c>
      <c r="T28" s="25">
        <f>T14-T27</f>
        <v/>
      </c>
      <c r="U28" s="25">
        <f>SUM(C28:T28)</f>
        <v/>
      </c>
    </row>
    <row r="29">
      <c r="A29" s="22" t="inlineStr">
        <is>
          <t>Trésorerie en fin de mois (départ : h_TRESO_INITIALE)</t>
        </is>
      </c>
      <c r="C29" s="26">
        <f>h_TRESO_INITIALE+C28</f>
        <v/>
      </c>
      <c r="D29" s="26">
        <f>C29+D28</f>
        <v/>
      </c>
      <c r="E29" s="26">
        <f>D29+E28</f>
        <v/>
      </c>
      <c r="F29" s="26">
        <f>E29+F28</f>
        <v/>
      </c>
      <c r="G29" s="26">
        <f>F29+G28</f>
        <v/>
      </c>
      <c r="H29" s="26">
        <f>G29+H28</f>
        <v/>
      </c>
      <c r="I29" s="26">
        <f>H29+I28</f>
        <v/>
      </c>
      <c r="J29" s="26">
        <f>I29+J28</f>
        <v/>
      </c>
      <c r="K29" s="26">
        <f>J29+K28</f>
        <v/>
      </c>
      <c r="L29" s="26">
        <f>K29+L28</f>
        <v/>
      </c>
      <c r="M29" s="26">
        <f>L29+M28</f>
        <v/>
      </c>
      <c r="N29" s="26">
        <f>M29+N28</f>
        <v/>
      </c>
      <c r="O29" s="26">
        <f>N29+O28</f>
        <v/>
      </c>
      <c r="P29" s="26">
        <f>O29+P28</f>
        <v/>
      </c>
      <c r="Q29" s="26">
        <f>P29+Q28</f>
        <v/>
      </c>
      <c r="R29" s="26">
        <f>Q29+R28</f>
        <v/>
      </c>
      <c r="S29" s="26">
        <f>R29+S28</f>
        <v/>
      </c>
      <c r="T29" s="26">
        <f>S29+T28</f>
        <v/>
      </c>
    </row>
    <row r="30">
      <c r="A30" s="22" t="inlineStr">
        <is>
          <t>Besoin de trésorerie (creux le plus bas, signe inversé)</t>
        </is>
      </c>
      <c r="C30" s="26">
        <f>-MIN(0,MIN(C29:T29))</f>
        <v/>
      </c>
    </row>
    <row r="33">
      <c r="A33" s="4" t="inlineStr">
        <is>
          <t>Scénario réaliste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3" t="inlineStr">
        <is>
          <t>Ligne</t>
        </is>
      </c>
      <c r="B34" s="3" t="inlineStr"/>
      <c r="C34" s="3" t="inlineStr">
        <is>
          <t>oct. 2026</t>
        </is>
      </c>
      <c r="D34" s="3" t="inlineStr">
        <is>
          <t>nov. 2026</t>
        </is>
      </c>
      <c r="E34" s="3" t="inlineStr">
        <is>
          <t>déc. 2026</t>
        </is>
      </c>
      <c r="F34" s="3" t="inlineStr">
        <is>
          <t>janv. 2027</t>
        </is>
      </c>
      <c r="G34" s="3" t="inlineStr">
        <is>
          <t>févr. 2027</t>
        </is>
      </c>
      <c r="H34" s="3" t="inlineStr">
        <is>
          <t>mars 2027</t>
        </is>
      </c>
      <c r="I34" s="3" t="inlineStr">
        <is>
          <t>avr. 2027</t>
        </is>
      </c>
      <c r="J34" s="3" t="inlineStr">
        <is>
          <t>mai 2027</t>
        </is>
      </c>
      <c r="K34" s="3" t="inlineStr">
        <is>
          <t>juin 2027</t>
        </is>
      </c>
      <c r="L34" s="3" t="inlineStr">
        <is>
          <t>juil. 2027</t>
        </is>
      </c>
      <c r="M34" s="3" t="inlineStr">
        <is>
          <t>août 2027</t>
        </is>
      </c>
      <c r="N34" s="3" t="inlineStr">
        <is>
          <t>sept. 2027</t>
        </is>
      </c>
      <c r="O34" s="3" t="inlineStr">
        <is>
          <t>oct. 2027</t>
        </is>
      </c>
      <c r="P34" s="3" t="inlineStr">
        <is>
          <t>nov. 2027</t>
        </is>
      </c>
      <c r="Q34" s="3" t="inlineStr">
        <is>
          <t>déc. 2027</t>
        </is>
      </c>
      <c r="R34" s="3" t="inlineStr">
        <is>
          <t>janv. 2028</t>
        </is>
      </c>
      <c r="S34" s="3" t="inlineStr">
        <is>
          <t>févr. 2028</t>
        </is>
      </c>
      <c r="T34" s="3" t="inlineStr">
        <is>
          <t>mars 2028</t>
        </is>
      </c>
      <c r="U34" s="3" t="inlineStr">
        <is>
          <t>Total</t>
        </is>
      </c>
    </row>
    <row r="35">
      <c r="A35" s="20" t="inlineStr">
        <is>
          <t>Ventes du site nettes de frais de paiement (dues)</t>
        </is>
      </c>
      <c r="C35" s="24">
        <f>'Scénarios 18 mois'!C39*(ue_SITE_TTC-ue_SITE_PAY)+'Scénarios 18 mois'!C42*(ue_PUB_TTC-ue_PUB_PAY)</f>
        <v/>
      </c>
      <c r="D35" s="24">
        <f>'Scénarios 18 mois'!D39*(ue_SITE_TTC-ue_SITE_PAY)+'Scénarios 18 mois'!D42*(ue_PUB_TTC-ue_PUB_PAY)</f>
        <v/>
      </c>
      <c r="E35" s="24">
        <f>'Scénarios 18 mois'!E39*(ue_SITE_TTC-ue_SITE_PAY)+'Scénarios 18 mois'!E42*(ue_PUB_TTC-ue_PUB_PAY)</f>
        <v/>
      </c>
      <c r="F35" s="24">
        <f>'Scénarios 18 mois'!F39*(ue_SITE_TTC-ue_SITE_PAY)+'Scénarios 18 mois'!F42*(ue_PUB_TTC-ue_PUB_PAY)</f>
        <v/>
      </c>
      <c r="G35" s="24">
        <f>'Scénarios 18 mois'!G39*(ue_SITE_TTC-ue_SITE_PAY)+'Scénarios 18 mois'!G42*(ue_PUB_TTC-ue_PUB_PAY)</f>
        <v/>
      </c>
      <c r="H35" s="24">
        <f>'Scénarios 18 mois'!H39*(ue_SITE_TTC-ue_SITE_PAY)+'Scénarios 18 mois'!H42*(ue_PUB_TTC-ue_PUB_PAY)</f>
        <v/>
      </c>
      <c r="I35" s="24">
        <f>'Scénarios 18 mois'!I39*(ue_SITE_TTC-ue_SITE_PAY)+'Scénarios 18 mois'!I42*(ue_PUB_TTC-ue_PUB_PAY)</f>
        <v/>
      </c>
      <c r="J35" s="24">
        <f>'Scénarios 18 mois'!J39*(ue_SITE_TTC-ue_SITE_PAY)+'Scénarios 18 mois'!J42*(ue_PUB_TTC-ue_PUB_PAY)</f>
        <v/>
      </c>
      <c r="K35" s="24">
        <f>'Scénarios 18 mois'!K39*(ue_SITE_TTC-ue_SITE_PAY)+'Scénarios 18 mois'!K42*(ue_PUB_TTC-ue_PUB_PAY)</f>
        <v/>
      </c>
      <c r="L35" s="24">
        <f>'Scénarios 18 mois'!L39*(ue_SITE_TTC-ue_SITE_PAY)+'Scénarios 18 mois'!L42*(ue_PUB_TTC-ue_PUB_PAY)</f>
        <v/>
      </c>
      <c r="M35" s="24">
        <f>'Scénarios 18 mois'!M39*(ue_SITE_TTC-ue_SITE_PAY)+'Scénarios 18 mois'!M42*(ue_PUB_TTC-ue_PUB_PAY)</f>
        <v/>
      </c>
      <c r="N35" s="24">
        <f>'Scénarios 18 mois'!N39*(ue_SITE_TTC-ue_SITE_PAY)+'Scénarios 18 mois'!N42*(ue_PUB_TTC-ue_PUB_PAY)</f>
        <v/>
      </c>
      <c r="O35" s="24">
        <f>'Scénarios 18 mois'!O39*(ue_SITE_TTC-ue_SITE_PAY)+'Scénarios 18 mois'!O42*(ue_PUB_TTC-ue_PUB_PAY)</f>
        <v/>
      </c>
      <c r="P35" s="24">
        <f>'Scénarios 18 mois'!P39*(ue_SITE_TTC-ue_SITE_PAY)+'Scénarios 18 mois'!P42*(ue_PUB_TTC-ue_PUB_PAY)</f>
        <v/>
      </c>
      <c r="Q35" s="24">
        <f>'Scénarios 18 mois'!Q39*(ue_SITE_TTC-ue_SITE_PAY)+'Scénarios 18 mois'!Q42*(ue_PUB_TTC-ue_PUB_PAY)</f>
        <v/>
      </c>
      <c r="R35" s="24">
        <f>'Scénarios 18 mois'!R39*(ue_SITE_TTC-ue_SITE_PAY)+'Scénarios 18 mois'!R42*(ue_PUB_TTC-ue_PUB_PAY)</f>
        <v/>
      </c>
      <c r="S35" s="24">
        <f>'Scénarios 18 mois'!S39*(ue_SITE_TTC-ue_SITE_PAY)+'Scénarios 18 mois'!S42*(ue_PUB_TTC-ue_PUB_PAY)</f>
        <v/>
      </c>
      <c r="T35" s="24">
        <f>'Scénarios 18 mois'!T39*(ue_SITE_TTC-ue_SITE_PAY)+'Scénarios 18 mois'!T42*(ue_PUB_TTC-ue_PUB_PAY)</f>
        <v/>
      </c>
    </row>
    <row r="36">
      <c r="A36" s="20" t="inlineStr">
        <is>
          <t>Encaissement Stripe / Shopify Payments</t>
        </is>
      </c>
      <c r="C36" s="24">
        <f>C35*(1-'Hypothèses'!C176/30)</f>
        <v/>
      </c>
      <c r="D36" s="24">
        <f>D35*(1-'Hypothèses'!D176/30)+C35*'Hypothèses'!C176/30</f>
        <v/>
      </c>
      <c r="E36" s="24">
        <f>E35*(1-'Hypothèses'!E176/30)+D35*'Hypothèses'!D176/30</f>
        <v/>
      </c>
      <c r="F36" s="24">
        <f>F35*(1-'Hypothèses'!F176/30)+E35*'Hypothèses'!E176/30</f>
        <v/>
      </c>
      <c r="G36" s="24">
        <f>G35*(1-'Hypothèses'!G176/30)+F35*'Hypothèses'!F176/30</f>
        <v/>
      </c>
      <c r="H36" s="24">
        <f>H35*(1-'Hypothèses'!H176/30)+G35*'Hypothèses'!G176/30</f>
        <v/>
      </c>
      <c r="I36" s="24">
        <f>I35*(1-'Hypothèses'!I176/30)+H35*'Hypothèses'!H176/30</f>
        <v/>
      </c>
      <c r="J36" s="24">
        <f>J35*(1-'Hypothèses'!J176/30)+I35*'Hypothèses'!I176/30</f>
        <v/>
      </c>
      <c r="K36" s="24">
        <f>K35*(1-'Hypothèses'!K176/30)+J35*'Hypothèses'!J176/30</f>
        <v/>
      </c>
      <c r="L36" s="24">
        <f>L35*(1-'Hypothèses'!L176/30)+K35*'Hypothèses'!K176/30</f>
        <v/>
      </c>
      <c r="M36" s="24">
        <f>M35*(1-'Hypothèses'!M176/30)+L35*'Hypothèses'!L176/30</f>
        <v/>
      </c>
      <c r="N36" s="24">
        <f>N35*(1-'Hypothèses'!N176/30)+M35*'Hypothèses'!M176/30</f>
        <v/>
      </c>
      <c r="O36" s="24">
        <f>O35*(1-'Hypothèses'!O176/30)+N35*'Hypothèses'!N176/30</f>
        <v/>
      </c>
      <c r="P36" s="24">
        <f>P35*(1-'Hypothèses'!P176/30)+O35*'Hypothèses'!O176/30</f>
        <v/>
      </c>
      <c r="Q36" s="24">
        <f>Q35*(1-'Hypothèses'!Q176/30)+P35*'Hypothèses'!P176/30</f>
        <v/>
      </c>
      <c r="R36" s="24">
        <f>R35*(1-'Hypothèses'!R176/30)+Q35*'Hypothèses'!Q176/30</f>
        <v/>
      </c>
      <c r="S36" s="24">
        <f>S35*(1-'Hypothèses'!S176/30)+R35*'Hypothèses'!R176/30</f>
        <v/>
      </c>
      <c r="T36" s="24">
        <f>T35*(1-'Hypothèses'!T176/30)+S35*'Hypothèses'!S176/30</f>
        <v/>
      </c>
      <c r="U36" s="25">
        <f>SUM(C36:T36)</f>
        <v/>
      </c>
    </row>
    <row r="37">
      <c r="A37" s="20" t="inlineStr">
        <is>
          <t>Ventes TikTok Shop nettes de commissions (dues)</t>
        </is>
      </c>
      <c r="C37" s="24">
        <f>('Scénarios 18 mois'!C40+'Scénarios 18 mois'!C41)*ue_TTS_TTC*(1-'Hypothèses'!C170)-'Scénarios 18 mois'!C41*ue_TTS_TTC*h_CREA_COMM</f>
        <v/>
      </c>
      <c r="D37" s="24">
        <f>('Scénarios 18 mois'!D40+'Scénarios 18 mois'!D41)*ue_TTS_TTC*(1-'Hypothèses'!D170)-'Scénarios 18 mois'!D41*ue_TTS_TTC*h_CREA_COMM</f>
        <v/>
      </c>
      <c r="E37" s="24">
        <f>('Scénarios 18 mois'!E40+'Scénarios 18 mois'!E41)*ue_TTS_TTC*(1-'Hypothèses'!E170)-'Scénarios 18 mois'!E41*ue_TTS_TTC*h_CREA_COMM</f>
        <v/>
      </c>
      <c r="F37" s="24">
        <f>('Scénarios 18 mois'!F40+'Scénarios 18 mois'!F41)*ue_TTS_TTC*(1-'Hypothèses'!F170)-'Scénarios 18 mois'!F41*ue_TTS_TTC*h_CREA_COMM</f>
        <v/>
      </c>
      <c r="G37" s="24">
        <f>('Scénarios 18 mois'!G40+'Scénarios 18 mois'!G41)*ue_TTS_TTC*(1-'Hypothèses'!G170)-'Scénarios 18 mois'!G41*ue_TTS_TTC*h_CREA_COMM</f>
        <v/>
      </c>
      <c r="H37" s="24">
        <f>('Scénarios 18 mois'!H40+'Scénarios 18 mois'!H41)*ue_TTS_TTC*(1-'Hypothèses'!H170)-'Scénarios 18 mois'!H41*ue_TTS_TTC*h_CREA_COMM</f>
        <v/>
      </c>
      <c r="I37" s="24">
        <f>('Scénarios 18 mois'!I40+'Scénarios 18 mois'!I41)*ue_TTS_TTC*(1-'Hypothèses'!I170)-'Scénarios 18 mois'!I41*ue_TTS_TTC*h_CREA_COMM</f>
        <v/>
      </c>
      <c r="J37" s="24">
        <f>('Scénarios 18 mois'!J40+'Scénarios 18 mois'!J41)*ue_TTS_TTC*(1-'Hypothèses'!J170)-'Scénarios 18 mois'!J41*ue_TTS_TTC*h_CREA_COMM</f>
        <v/>
      </c>
      <c r="K37" s="24">
        <f>('Scénarios 18 mois'!K40+'Scénarios 18 mois'!K41)*ue_TTS_TTC*(1-'Hypothèses'!K170)-'Scénarios 18 mois'!K41*ue_TTS_TTC*h_CREA_COMM</f>
        <v/>
      </c>
      <c r="L37" s="24">
        <f>('Scénarios 18 mois'!L40+'Scénarios 18 mois'!L41)*ue_TTS_TTC*(1-'Hypothèses'!L170)-'Scénarios 18 mois'!L41*ue_TTS_TTC*h_CREA_COMM</f>
        <v/>
      </c>
      <c r="M37" s="24">
        <f>('Scénarios 18 mois'!M40+'Scénarios 18 mois'!M41)*ue_TTS_TTC*(1-'Hypothèses'!M170)-'Scénarios 18 mois'!M41*ue_TTS_TTC*h_CREA_COMM</f>
        <v/>
      </c>
      <c r="N37" s="24">
        <f>('Scénarios 18 mois'!N40+'Scénarios 18 mois'!N41)*ue_TTS_TTC*(1-'Hypothèses'!N170)-'Scénarios 18 mois'!N41*ue_TTS_TTC*h_CREA_COMM</f>
        <v/>
      </c>
      <c r="O37" s="24">
        <f>('Scénarios 18 mois'!O40+'Scénarios 18 mois'!O41)*ue_TTS_TTC*(1-'Hypothèses'!O170)-'Scénarios 18 mois'!O41*ue_TTS_TTC*h_CREA_COMM</f>
        <v/>
      </c>
      <c r="P37" s="24">
        <f>('Scénarios 18 mois'!P40+'Scénarios 18 mois'!P41)*ue_TTS_TTC*(1-'Hypothèses'!P170)-'Scénarios 18 mois'!P41*ue_TTS_TTC*h_CREA_COMM</f>
        <v/>
      </c>
      <c r="Q37" s="24">
        <f>('Scénarios 18 mois'!Q40+'Scénarios 18 mois'!Q41)*ue_TTS_TTC*(1-'Hypothèses'!Q170)-'Scénarios 18 mois'!Q41*ue_TTS_TTC*h_CREA_COMM</f>
        <v/>
      </c>
      <c r="R37" s="24">
        <f>('Scénarios 18 mois'!R40+'Scénarios 18 mois'!R41)*ue_TTS_TTC*(1-'Hypothèses'!R170)-'Scénarios 18 mois'!R41*ue_TTS_TTC*h_CREA_COMM</f>
        <v/>
      </c>
      <c r="S37" s="24">
        <f>('Scénarios 18 mois'!S40+'Scénarios 18 mois'!S41)*ue_TTS_TTC*(1-'Hypothèses'!S170)-'Scénarios 18 mois'!S41*ue_TTS_TTC*h_CREA_COMM</f>
        <v/>
      </c>
      <c r="T37" s="24">
        <f>('Scénarios 18 mois'!T40+'Scénarios 18 mois'!T41)*ue_TTS_TTC*(1-'Hypothèses'!T170)-'Scénarios 18 mois'!T41*ue_TTS_TTC*h_CREA_COMM</f>
        <v/>
      </c>
    </row>
    <row r="38">
      <c r="A38" s="20" t="inlineStr">
        <is>
          <t>Délai d'encaissement TikTok Shop (jours)</t>
        </is>
      </c>
      <c r="C38" s="16">
        <f>'Hypothèses'!C177</f>
        <v/>
      </c>
      <c r="D38" s="16">
        <f>'Hypothèses'!D177</f>
        <v/>
      </c>
      <c r="E38" s="16">
        <f>'Hypothèses'!E177</f>
        <v/>
      </c>
      <c r="F38" s="16">
        <f>'Hypothèses'!F177</f>
        <v/>
      </c>
      <c r="G38" s="16">
        <f>'Hypothèses'!G177</f>
        <v/>
      </c>
      <c r="H38" s="16">
        <f>'Hypothèses'!H177</f>
        <v/>
      </c>
      <c r="I38" s="16">
        <f>'Hypothèses'!I177</f>
        <v/>
      </c>
      <c r="J38" s="16">
        <f>'Hypothèses'!J177</f>
        <v/>
      </c>
      <c r="K38" s="16">
        <f>'Hypothèses'!K177</f>
        <v/>
      </c>
      <c r="L38" s="16">
        <f>'Hypothèses'!L177</f>
        <v/>
      </c>
      <c r="M38" s="16">
        <f>'Hypothèses'!M177</f>
        <v/>
      </c>
      <c r="N38" s="16">
        <f>'Hypothèses'!N177</f>
        <v/>
      </c>
      <c r="O38" s="16">
        <f>'Hypothèses'!O177</f>
        <v/>
      </c>
      <c r="P38" s="16">
        <f>'Hypothèses'!P177</f>
        <v/>
      </c>
      <c r="Q38" s="16">
        <f>'Hypothèses'!Q177</f>
        <v/>
      </c>
      <c r="R38" s="16">
        <f>'Hypothèses'!R177</f>
        <v/>
      </c>
      <c r="S38" s="16">
        <f>'Hypothèses'!S177</f>
        <v/>
      </c>
      <c r="T38" s="16">
        <f>'Hypothèses'!T177</f>
        <v/>
      </c>
    </row>
    <row r="39">
      <c r="A39" s="20" t="inlineStr">
        <is>
          <t>Part encaissée le mois même</t>
        </is>
      </c>
      <c r="C39" s="11">
        <f>MAX(0,1-C38/30)</f>
        <v/>
      </c>
      <c r="D39" s="11">
        <f>MAX(0,1-D38/30)</f>
        <v/>
      </c>
      <c r="E39" s="11">
        <f>MAX(0,1-E38/30)</f>
        <v/>
      </c>
      <c r="F39" s="11">
        <f>MAX(0,1-F38/30)</f>
        <v/>
      </c>
      <c r="G39" s="11">
        <f>MAX(0,1-G38/30)</f>
        <v/>
      </c>
      <c r="H39" s="11">
        <f>MAX(0,1-H38/30)</f>
        <v/>
      </c>
      <c r="I39" s="11">
        <f>MAX(0,1-I38/30)</f>
        <v/>
      </c>
      <c r="J39" s="11">
        <f>MAX(0,1-J38/30)</f>
        <v/>
      </c>
      <c r="K39" s="11">
        <f>MAX(0,1-K38/30)</f>
        <v/>
      </c>
      <c r="L39" s="11">
        <f>MAX(0,1-L38/30)</f>
        <v/>
      </c>
      <c r="M39" s="11">
        <f>MAX(0,1-M38/30)</f>
        <v/>
      </c>
      <c r="N39" s="11">
        <f>MAX(0,1-N38/30)</f>
        <v/>
      </c>
      <c r="O39" s="11">
        <f>MAX(0,1-O38/30)</f>
        <v/>
      </c>
      <c r="P39" s="11">
        <f>MAX(0,1-P38/30)</f>
        <v/>
      </c>
      <c r="Q39" s="11">
        <f>MAX(0,1-Q38/30)</f>
        <v/>
      </c>
      <c r="R39" s="11">
        <f>MAX(0,1-R38/30)</f>
        <v/>
      </c>
      <c r="S39" s="11">
        <f>MAX(0,1-S38/30)</f>
        <v/>
      </c>
      <c r="T39" s="11">
        <f>MAX(0,1-T38/30)</f>
        <v/>
      </c>
    </row>
    <row r="40">
      <c r="A40" s="20" t="inlineStr">
        <is>
          <t>Part encaissée le mois suivant</t>
        </is>
      </c>
      <c r="C40" s="11">
        <f>IF(C38&lt;=30,C38/30,(60-C38)/30)</f>
        <v/>
      </c>
      <c r="D40" s="11">
        <f>IF(D38&lt;=30,D38/30,(60-D38)/30)</f>
        <v/>
      </c>
      <c r="E40" s="11">
        <f>IF(E38&lt;=30,E38/30,(60-E38)/30)</f>
        <v/>
      </c>
      <c r="F40" s="11">
        <f>IF(F38&lt;=30,F38/30,(60-F38)/30)</f>
        <v/>
      </c>
      <c r="G40" s="11">
        <f>IF(G38&lt;=30,G38/30,(60-G38)/30)</f>
        <v/>
      </c>
      <c r="H40" s="11">
        <f>IF(H38&lt;=30,H38/30,(60-H38)/30)</f>
        <v/>
      </c>
      <c r="I40" s="11">
        <f>IF(I38&lt;=30,I38/30,(60-I38)/30)</f>
        <v/>
      </c>
      <c r="J40" s="11">
        <f>IF(J38&lt;=30,J38/30,(60-J38)/30)</f>
        <v/>
      </c>
      <c r="K40" s="11">
        <f>IF(K38&lt;=30,K38/30,(60-K38)/30)</f>
        <v/>
      </c>
      <c r="L40" s="11">
        <f>IF(L38&lt;=30,L38/30,(60-L38)/30)</f>
        <v/>
      </c>
      <c r="M40" s="11">
        <f>IF(M38&lt;=30,M38/30,(60-M38)/30)</f>
        <v/>
      </c>
      <c r="N40" s="11">
        <f>IF(N38&lt;=30,N38/30,(60-N38)/30)</f>
        <v/>
      </c>
      <c r="O40" s="11">
        <f>IF(O38&lt;=30,O38/30,(60-O38)/30)</f>
        <v/>
      </c>
      <c r="P40" s="11">
        <f>IF(P38&lt;=30,P38/30,(60-P38)/30)</f>
        <v/>
      </c>
      <c r="Q40" s="11">
        <f>IF(Q38&lt;=30,Q38/30,(60-Q38)/30)</f>
        <v/>
      </c>
      <c r="R40" s="11">
        <f>IF(R38&lt;=30,R38/30,(60-R38)/30)</f>
        <v/>
      </c>
      <c r="S40" s="11">
        <f>IF(S38&lt;=30,S38/30,(60-S38)/30)</f>
        <v/>
      </c>
      <c r="T40" s="11">
        <f>IF(T38&lt;=30,T38/30,(60-T38)/30)</f>
        <v/>
      </c>
    </row>
    <row r="41">
      <c r="A41" s="20" t="inlineStr">
        <is>
          <t>Part encaissée à M+2</t>
        </is>
      </c>
      <c r="C41" s="11">
        <f>MAX(0,(C38-30)/30)</f>
        <v/>
      </c>
      <c r="D41" s="11">
        <f>MAX(0,(D38-30)/30)</f>
        <v/>
      </c>
      <c r="E41" s="11">
        <f>MAX(0,(E38-30)/30)</f>
        <v/>
      </c>
      <c r="F41" s="11">
        <f>MAX(0,(F38-30)/30)</f>
        <v/>
      </c>
      <c r="G41" s="11">
        <f>MAX(0,(G38-30)/30)</f>
        <v/>
      </c>
      <c r="H41" s="11">
        <f>MAX(0,(H38-30)/30)</f>
        <v/>
      </c>
      <c r="I41" s="11">
        <f>MAX(0,(I38-30)/30)</f>
        <v/>
      </c>
      <c r="J41" s="11">
        <f>MAX(0,(J38-30)/30)</f>
        <v/>
      </c>
      <c r="K41" s="11">
        <f>MAX(0,(K38-30)/30)</f>
        <v/>
      </c>
      <c r="L41" s="11">
        <f>MAX(0,(L38-30)/30)</f>
        <v/>
      </c>
      <c r="M41" s="11">
        <f>MAX(0,(M38-30)/30)</f>
        <v/>
      </c>
      <c r="N41" s="11">
        <f>MAX(0,(N38-30)/30)</f>
        <v/>
      </c>
      <c r="O41" s="11">
        <f>MAX(0,(O38-30)/30)</f>
        <v/>
      </c>
      <c r="P41" s="11">
        <f>MAX(0,(P38-30)/30)</f>
        <v/>
      </c>
      <c r="Q41" s="11">
        <f>MAX(0,(Q38-30)/30)</f>
        <v/>
      </c>
      <c r="R41" s="11">
        <f>MAX(0,(R38-30)/30)</f>
        <v/>
      </c>
      <c r="S41" s="11">
        <f>MAX(0,(S38-30)/30)</f>
        <v/>
      </c>
      <c r="T41" s="11">
        <f>MAX(0,(T38-30)/30)</f>
        <v/>
      </c>
    </row>
    <row r="42">
      <c r="A42" s="20" t="inlineStr">
        <is>
          <t>Encaissement TikTok Shop</t>
        </is>
      </c>
      <c r="C42" s="24">
        <f>C37*C39</f>
        <v/>
      </c>
      <c r="D42" s="24">
        <f>D37*D39+C37*C40</f>
        <v/>
      </c>
      <c r="E42" s="24">
        <f>E37*E39+D37*D40+C37*C41</f>
        <v/>
      </c>
      <c r="F42" s="24">
        <f>F37*F39+E37*E40+D37*D41</f>
        <v/>
      </c>
      <c r="G42" s="24">
        <f>G37*G39+F37*F40+E37*E41</f>
        <v/>
      </c>
      <c r="H42" s="24">
        <f>H37*H39+G37*G40+F37*F41</f>
        <v/>
      </c>
      <c r="I42" s="24">
        <f>I37*I39+H37*H40+G37*G41</f>
        <v/>
      </c>
      <c r="J42" s="24">
        <f>J37*J39+I37*I40+H37*H41</f>
        <v/>
      </c>
      <c r="K42" s="24">
        <f>K37*K39+J37*J40+I37*I41</f>
        <v/>
      </c>
      <c r="L42" s="24">
        <f>L37*L39+K37*K40+J37*J41</f>
        <v/>
      </c>
      <c r="M42" s="24">
        <f>M37*M39+L37*L40+K37*K41</f>
        <v/>
      </c>
      <c r="N42" s="24">
        <f>N37*N39+M37*M40+L37*L41</f>
        <v/>
      </c>
      <c r="O42" s="24">
        <f>O37*O39+N37*N40+M37*M41</f>
        <v/>
      </c>
      <c r="P42" s="24">
        <f>P37*P39+O37*O40+N37*N41</f>
        <v/>
      </c>
      <c r="Q42" s="24">
        <f>Q37*Q39+P37*P40+O37*O41</f>
        <v/>
      </c>
      <c r="R42" s="24">
        <f>R37*R39+Q37*Q40+P37*P41</f>
        <v/>
      </c>
      <c r="S42" s="24">
        <f>S37*S39+R37*R40+Q37*Q41</f>
        <v/>
      </c>
      <c r="T42" s="24">
        <f>T37*T39+S37*S40+R37*R41</f>
        <v/>
      </c>
      <c r="U42" s="25">
        <f>SUM(C42:T42)</f>
        <v/>
      </c>
    </row>
    <row r="43">
      <c r="A43" s="22" t="inlineStr">
        <is>
          <t>Total des encaissements</t>
        </is>
      </c>
      <c r="C43" s="25">
        <f>C36+C42</f>
        <v/>
      </c>
      <c r="D43" s="25">
        <f>D36+D42</f>
        <v/>
      </c>
      <c r="E43" s="25">
        <f>E36+E42</f>
        <v/>
      </c>
      <c r="F43" s="25">
        <f>F36+F42</f>
        <v/>
      </c>
      <c r="G43" s="25">
        <f>G36+G42</f>
        <v/>
      </c>
      <c r="H43" s="25">
        <f>H36+H42</f>
        <v/>
      </c>
      <c r="I43" s="25">
        <f>I36+I42</f>
        <v/>
      </c>
      <c r="J43" s="25">
        <f>J36+J42</f>
        <v/>
      </c>
      <c r="K43" s="25">
        <f>K36+K42</f>
        <v/>
      </c>
      <c r="L43" s="25">
        <f>L36+L42</f>
        <v/>
      </c>
      <c r="M43" s="25">
        <f>M36+M42</f>
        <v/>
      </c>
      <c r="N43" s="25">
        <f>N36+N42</f>
        <v/>
      </c>
      <c r="O43" s="25">
        <f>O36+O42</f>
        <v/>
      </c>
      <c r="P43" s="25">
        <f>P36+P42</f>
        <v/>
      </c>
      <c r="Q43" s="25">
        <f>Q36+Q42</f>
        <v/>
      </c>
      <c r="R43" s="25">
        <f>R36+R42</f>
        <v/>
      </c>
      <c r="S43" s="25">
        <f>S36+S42</f>
        <v/>
      </c>
      <c r="T43" s="25">
        <f>T36+T42</f>
        <v/>
      </c>
      <c r="U43" s="25">
        <f>SUM(C43:T43)</f>
        <v/>
      </c>
    </row>
    <row r="44">
      <c r="A44" s="20" t="inlineStr">
        <is>
          <t>Stock en fin de mois (coût HT)</t>
        </is>
      </c>
      <c r="C44" s="24">
        <f>'Hypothèses'!C175*'Scénarios 18 mois'!D48</f>
        <v/>
      </c>
      <c r="D44" s="24">
        <f>'Hypothèses'!D175*'Scénarios 18 mois'!E48</f>
        <v/>
      </c>
      <c r="E44" s="24">
        <f>'Hypothèses'!E175*'Scénarios 18 mois'!F48</f>
        <v/>
      </c>
      <c r="F44" s="24">
        <f>'Hypothèses'!F175*'Scénarios 18 mois'!G48</f>
        <v/>
      </c>
      <c r="G44" s="24">
        <f>'Hypothèses'!G175*'Scénarios 18 mois'!H48</f>
        <v/>
      </c>
      <c r="H44" s="24">
        <f>'Hypothèses'!H175*'Scénarios 18 mois'!I48</f>
        <v/>
      </c>
      <c r="I44" s="24">
        <f>'Hypothèses'!I175*'Scénarios 18 mois'!J48</f>
        <v/>
      </c>
      <c r="J44" s="24">
        <f>'Hypothèses'!J175*'Scénarios 18 mois'!K48</f>
        <v/>
      </c>
      <c r="K44" s="24">
        <f>'Hypothèses'!K175*'Scénarios 18 mois'!L48</f>
        <v/>
      </c>
      <c r="L44" s="24">
        <f>'Hypothèses'!L175*'Scénarios 18 mois'!M48</f>
        <v/>
      </c>
      <c r="M44" s="24">
        <f>'Hypothèses'!M175*'Scénarios 18 mois'!N48</f>
        <v/>
      </c>
      <c r="N44" s="24">
        <f>'Hypothèses'!N175*'Scénarios 18 mois'!O48</f>
        <v/>
      </c>
      <c r="O44" s="24">
        <f>'Hypothèses'!O175*'Scénarios 18 mois'!P48</f>
        <v/>
      </c>
      <c r="P44" s="24">
        <f>'Hypothèses'!P175*'Scénarios 18 mois'!Q48</f>
        <v/>
      </c>
      <c r="Q44" s="24">
        <f>'Hypothèses'!Q175*'Scénarios 18 mois'!R48</f>
        <v/>
      </c>
      <c r="R44" s="24">
        <f>'Hypothèses'!R175*'Scénarios 18 mois'!S48</f>
        <v/>
      </c>
      <c r="S44" s="24">
        <f>'Hypothèses'!S175*'Scénarios 18 mois'!T48</f>
        <v/>
      </c>
      <c r="T44" s="24">
        <f>'Hypothèses'!T175*'Scénarios 18 mois'!T48</f>
        <v/>
      </c>
    </row>
    <row r="45">
      <c r="A45" s="20" t="inlineStr">
        <is>
          <t>Achats de stock HT (payés à la commande)</t>
        </is>
      </c>
      <c r="C45" s="24">
        <f>'Scénarios 18 mois'!C48+C44</f>
        <v/>
      </c>
      <c r="D45" s="24">
        <f>'Scénarios 18 mois'!D48+D44-C44</f>
        <v/>
      </c>
      <c r="E45" s="24">
        <f>'Scénarios 18 mois'!E48+E44-D44</f>
        <v/>
      </c>
      <c r="F45" s="24">
        <f>'Scénarios 18 mois'!F48+F44-E44</f>
        <v/>
      </c>
      <c r="G45" s="24">
        <f>'Scénarios 18 mois'!G48+G44-F44</f>
        <v/>
      </c>
      <c r="H45" s="24">
        <f>'Scénarios 18 mois'!H48+H44-G44</f>
        <v/>
      </c>
      <c r="I45" s="24">
        <f>'Scénarios 18 mois'!I48+I44-H44</f>
        <v/>
      </c>
      <c r="J45" s="24">
        <f>'Scénarios 18 mois'!J48+J44-I44</f>
        <v/>
      </c>
      <c r="K45" s="24">
        <f>'Scénarios 18 mois'!K48+K44-J44</f>
        <v/>
      </c>
      <c r="L45" s="24">
        <f>'Scénarios 18 mois'!L48+L44-K44</f>
        <v/>
      </c>
      <c r="M45" s="24">
        <f>'Scénarios 18 mois'!M48+M44-L44</f>
        <v/>
      </c>
      <c r="N45" s="24">
        <f>'Scénarios 18 mois'!N48+N44-M44</f>
        <v/>
      </c>
      <c r="O45" s="24">
        <f>'Scénarios 18 mois'!O48+O44-N44</f>
        <v/>
      </c>
      <c r="P45" s="24">
        <f>'Scénarios 18 mois'!P48+P44-O44</f>
        <v/>
      </c>
      <c r="Q45" s="24">
        <f>'Scénarios 18 mois'!Q48+Q44-P44</f>
        <v/>
      </c>
      <c r="R45" s="24">
        <f>'Scénarios 18 mois'!R48+R44-Q44</f>
        <v/>
      </c>
      <c r="S45" s="24">
        <f>'Scénarios 18 mois'!S48+S44-R44</f>
        <v/>
      </c>
      <c r="T45" s="24">
        <f>'Scénarios 18 mois'!T48+T44-S44</f>
        <v/>
      </c>
      <c r="U45" s="25">
        <f>SUM(C45:T45)</f>
        <v/>
      </c>
    </row>
    <row r="46">
      <c r="A46" s="20" t="inlineStr">
        <is>
          <t>Achat en import groupé (TVA autoliquidée, 1 = oui)</t>
        </is>
      </c>
      <c r="C46" s="27">
        <f>'Hypothèses'!D171</f>
        <v/>
      </c>
      <c r="D46" s="27">
        <f>'Hypothèses'!E171</f>
        <v/>
      </c>
      <c r="E46" s="27">
        <f>'Hypothèses'!F171</f>
        <v/>
      </c>
      <c r="F46" s="27">
        <f>'Hypothèses'!G171</f>
        <v/>
      </c>
      <c r="G46" s="27">
        <f>'Hypothèses'!H171</f>
        <v/>
      </c>
      <c r="H46" s="27">
        <f>'Hypothèses'!I171</f>
        <v/>
      </c>
      <c r="I46" s="27">
        <f>'Hypothèses'!J171</f>
        <v/>
      </c>
      <c r="J46" s="27">
        <f>'Hypothèses'!K171</f>
        <v/>
      </c>
      <c r="K46" s="27">
        <f>'Hypothèses'!L171</f>
        <v/>
      </c>
      <c r="L46" s="27">
        <f>'Hypothèses'!M171</f>
        <v/>
      </c>
      <c r="M46" s="27">
        <f>'Hypothèses'!N171</f>
        <v/>
      </c>
      <c r="N46" s="27">
        <f>'Hypothèses'!O171</f>
        <v/>
      </c>
      <c r="O46" s="27">
        <f>'Hypothèses'!P171</f>
        <v/>
      </c>
      <c r="P46" s="27">
        <f>'Hypothèses'!Q171</f>
        <v/>
      </c>
      <c r="Q46" s="27">
        <f>'Hypothèses'!R171</f>
        <v/>
      </c>
      <c r="R46" s="27">
        <f>'Hypothèses'!S171</f>
        <v/>
      </c>
      <c r="S46" s="27">
        <f>'Hypothèses'!T171</f>
        <v/>
      </c>
      <c r="T46" s="27">
        <f>'Hypothèses'!T171</f>
        <v/>
      </c>
    </row>
    <row r="47">
      <c r="A47" s="20" t="inlineStr">
        <is>
          <t>TVA payée sur achats de micro-stock</t>
        </is>
      </c>
      <c r="C47" s="24">
        <f>h_TVA*C45*(1-C46)</f>
        <v/>
      </c>
      <c r="D47" s="24">
        <f>h_TVA*D45*(1-D46)</f>
        <v/>
      </c>
      <c r="E47" s="24">
        <f>h_TVA*E45*(1-E46)</f>
        <v/>
      </c>
      <c r="F47" s="24">
        <f>h_TVA*F45*(1-F46)</f>
        <v/>
      </c>
      <c r="G47" s="24">
        <f>h_TVA*G45*(1-G46)</f>
        <v/>
      </c>
      <c r="H47" s="24">
        <f>h_TVA*H45*(1-H46)</f>
        <v/>
      </c>
      <c r="I47" s="24">
        <f>h_TVA*I45*(1-I46)</f>
        <v/>
      </c>
      <c r="J47" s="24">
        <f>h_TVA*J45*(1-J46)</f>
        <v/>
      </c>
      <c r="K47" s="24">
        <f>h_TVA*K45*(1-K46)</f>
        <v/>
      </c>
      <c r="L47" s="24">
        <f>h_TVA*L45*(1-L46)</f>
        <v/>
      </c>
      <c r="M47" s="24">
        <f>h_TVA*M45*(1-M46)</f>
        <v/>
      </c>
      <c r="N47" s="24">
        <f>h_TVA*N45*(1-N46)</f>
        <v/>
      </c>
      <c r="O47" s="24">
        <f>h_TVA*O45*(1-O46)</f>
        <v/>
      </c>
      <c r="P47" s="24">
        <f>h_TVA*P45*(1-P46)</f>
        <v/>
      </c>
      <c r="Q47" s="24">
        <f>h_TVA*Q45*(1-Q46)</f>
        <v/>
      </c>
      <c r="R47" s="24">
        <f>h_TVA*R45*(1-R46)</f>
        <v/>
      </c>
      <c r="S47" s="24">
        <f>h_TVA*S45*(1-S46)</f>
        <v/>
      </c>
      <c r="T47" s="24">
        <f>h_TVA*T45*(1-T46)</f>
        <v/>
      </c>
      <c r="U47" s="25">
        <f>SUM(C47:T47)</f>
        <v/>
      </c>
    </row>
    <row r="48">
      <c r="A48" s="20" t="inlineStr">
        <is>
          <t>Étiquettes, emballage, 3PL (TTC)</t>
        </is>
      </c>
      <c r="C48" s="24">
        <f>'Scénarios 18 mois'!C49*(1+h_TVA)</f>
        <v/>
      </c>
      <c r="D48" s="24">
        <f>'Scénarios 18 mois'!D49*(1+h_TVA)</f>
        <v/>
      </c>
      <c r="E48" s="24">
        <f>'Scénarios 18 mois'!E49*(1+h_TVA)</f>
        <v/>
      </c>
      <c r="F48" s="24">
        <f>'Scénarios 18 mois'!F49*(1+h_TVA)</f>
        <v/>
      </c>
      <c r="G48" s="24">
        <f>'Scénarios 18 mois'!G49*(1+h_TVA)</f>
        <v/>
      </c>
      <c r="H48" s="24">
        <f>'Scénarios 18 mois'!H49*(1+h_TVA)</f>
        <v/>
      </c>
      <c r="I48" s="24">
        <f>'Scénarios 18 mois'!I49*(1+h_TVA)</f>
        <v/>
      </c>
      <c r="J48" s="24">
        <f>'Scénarios 18 mois'!J49*(1+h_TVA)</f>
        <v/>
      </c>
      <c r="K48" s="24">
        <f>'Scénarios 18 mois'!K49*(1+h_TVA)</f>
        <v/>
      </c>
      <c r="L48" s="24">
        <f>'Scénarios 18 mois'!L49*(1+h_TVA)</f>
        <v/>
      </c>
      <c r="M48" s="24">
        <f>'Scénarios 18 mois'!M49*(1+h_TVA)</f>
        <v/>
      </c>
      <c r="N48" s="24">
        <f>'Scénarios 18 mois'!N49*(1+h_TVA)</f>
        <v/>
      </c>
      <c r="O48" s="24">
        <f>'Scénarios 18 mois'!O49*(1+h_TVA)</f>
        <v/>
      </c>
      <c r="P48" s="24">
        <f>'Scénarios 18 mois'!P49*(1+h_TVA)</f>
        <v/>
      </c>
      <c r="Q48" s="24">
        <f>'Scénarios 18 mois'!Q49*(1+h_TVA)</f>
        <v/>
      </c>
      <c r="R48" s="24">
        <f>'Scénarios 18 mois'!R49*(1+h_TVA)</f>
        <v/>
      </c>
      <c r="S48" s="24">
        <f>'Scénarios 18 mois'!S49*(1+h_TVA)</f>
        <v/>
      </c>
      <c r="T48" s="24">
        <f>'Scénarios 18 mois'!T49*(1+h_TVA)</f>
        <v/>
      </c>
      <c r="U48" s="25">
        <f>SUM(C48:T48)</f>
        <v/>
      </c>
    </row>
    <row r="49">
      <c r="A49" s="20" t="inlineStr">
        <is>
          <t>Publicité</t>
        </is>
      </c>
      <c r="C49" s="24">
        <f>'Scénarios 18 mois'!C55</f>
        <v/>
      </c>
      <c r="D49" s="24">
        <f>'Scénarios 18 mois'!D55</f>
        <v/>
      </c>
      <c r="E49" s="24">
        <f>'Scénarios 18 mois'!E55</f>
        <v/>
      </c>
      <c r="F49" s="24">
        <f>'Scénarios 18 mois'!F55</f>
        <v/>
      </c>
      <c r="G49" s="24">
        <f>'Scénarios 18 mois'!G55</f>
        <v/>
      </c>
      <c r="H49" s="24">
        <f>'Scénarios 18 mois'!H55</f>
        <v/>
      </c>
      <c r="I49" s="24">
        <f>'Scénarios 18 mois'!I55</f>
        <v/>
      </c>
      <c r="J49" s="24">
        <f>'Scénarios 18 mois'!J55</f>
        <v/>
      </c>
      <c r="K49" s="24">
        <f>'Scénarios 18 mois'!K55</f>
        <v/>
      </c>
      <c r="L49" s="24">
        <f>'Scénarios 18 mois'!L55</f>
        <v/>
      </c>
      <c r="M49" s="24">
        <f>'Scénarios 18 mois'!M55</f>
        <v/>
      </c>
      <c r="N49" s="24">
        <f>'Scénarios 18 mois'!N55</f>
        <v/>
      </c>
      <c r="O49" s="24">
        <f>'Scénarios 18 mois'!O55</f>
        <v/>
      </c>
      <c r="P49" s="24">
        <f>'Scénarios 18 mois'!P55</f>
        <v/>
      </c>
      <c r="Q49" s="24">
        <f>'Scénarios 18 mois'!Q55</f>
        <v/>
      </c>
      <c r="R49" s="24">
        <f>'Scénarios 18 mois'!R55</f>
        <v/>
      </c>
      <c r="S49" s="24">
        <f>'Scénarios 18 mois'!S55</f>
        <v/>
      </c>
      <c r="T49" s="24">
        <f>'Scénarios 18 mois'!T55</f>
        <v/>
      </c>
      <c r="U49" s="25">
        <f>SUM(C49:T49)</f>
        <v/>
      </c>
    </row>
    <row r="50">
      <c r="A50" s="20" t="inlineStr">
        <is>
          <t>Échantillons créateurs</t>
        </is>
      </c>
      <c r="C50" s="24">
        <f>'Scénarios 18 mois'!C56</f>
        <v/>
      </c>
      <c r="D50" s="24">
        <f>'Scénarios 18 mois'!D56</f>
        <v/>
      </c>
      <c r="E50" s="24">
        <f>'Scénarios 18 mois'!E56</f>
        <v/>
      </c>
      <c r="F50" s="24">
        <f>'Scénarios 18 mois'!F56</f>
        <v/>
      </c>
      <c r="G50" s="24">
        <f>'Scénarios 18 mois'!G56</f>
        <v/>
      </c>
      <c r="H50" s="24">
        <f>'Scénarios 18 mois'!H56</f>
        <v/>
      </c>
      <c r="I50" s="24">
        <f>'Scénarios 18 mois'!I56</f>
        <v/>
      </c>
      <c r="J50" s="24">
        <f>'Scénarios 18 mois'!J56</f>
        <v/>
      </c>
      <c r="K50" s="24">
        <f>'Scénarios 18 mois'!K56</f>
        <v/>
      </c>
      <c r="L50" s="24">
        <f>'Scénarios 18 mois'!L56</f>
        <v/>
      </c>
      <c r="M50" s="24">
        <f>'Scénarios 18 mois'!M56</f>
        <v/>
      </c>
      <c r="N50" s="24">
        <f>'Scénarios 18 mois'!N56</f>
        <v/>
      </c>
      <c r="O50" s="24">
        <f>'Scénarios 18 mois'!O56</f>
        <v/>
      </c>
      <c r="P50" s="24">
        <f>'Scénarios 18 mois'!P56</f>
        <v/>
      </c>
      <c r="Q50" s="24">
        <f>'Scénarios 18 mois'!Q56</f>
        <v/>
      </c>
      <c r="R50" s="24">
        <f>'Scénarios 18 mois'!R56</f>
        <v/>
      </c>
      <c r="S50" s="24">
        <f>'Scénarios 18 mois'!S56</f>
        <v/>
      </c>
      <c r="T50" s="24">
        <f>'Scénarios 18 mois'!T56</f>
        <v/>
      </c>
      <c r="U50" s="25">
        <f>SUM(C50:T50)</f>
        <v/>
      </c>
    </row>
    <row r="51">
      <c r="A51" s="20" t="inlineStr">
        <is>
          <t>Frais fixes et ponctuels</t>
        </is>
      </c>
      <c r="C51" s="24">
        <f>'Scénarios 18 mois'!C57</f>
        <v/>
      </c>
      <c r="D51" s="24">
        <f>'Scénarios 18 mois'!D57</f>
        <v/>
      </c>
      <c r="E51" s="24">
        <f>'Scénarios 18 mois'!E57</f>
        <v/>
      </c>
      <c r="F51" s="24">
        <f>'Scénarios 18 mois'!F57</f>
        <v/>
      </c>
      <c r="G51" s="24">
        <f>'Scénarios 18 mois'!G57</f>
        <v/>
      </c>
      <c r="H51" s="24">
        <f>'Scénarios 18 mois'!H57</f>
        <v/>
      </c>
      <c r="I51" s="24">
        <f>'Scénarios 18 mois'!I57</f>
        <v/>
      </c>
      <c r="J51" s="24">
        <f>'Scénarios 18 mois'!J57</f>
        <v/>
      </c>
      <c r="K51" s="24">
        <f>'Scénarios 18 mois'!K57</f>
        <v/>
      </c>
      <c r="L51" s="24">
        <f>'Scénarios 18 mois'!L57</f>
        <v/>
      </c>
      <c r="M51" s="24">
        <f>'Scénarios 18 mois'!M57</f>
        <v/>
      </c>
      <c r="N51" s="24">
        <f>'Scénarios 18 mois'!N57</f>
        <v/>
      </c>
      <c r="O51" s="24">
        <f>'Scénarios 18 mois'!O57</f>
        <v/>
      </c>
      <c r="P51" s="24">
        <f>'Scénarios 18 mois'!P57</f>
        <v/>
      </c>
      <c r="Q51" s="24">
        <f>'Scénarios 18 mois'!Q57</f>
        <v/>
      </c>
      <c r="R51" s="24">
        <f>'Scénarios 18 mois'!R57</f>
        <v/>
      </c>
      <c r="S51" s="24">
        <f>'Scénarios 18 mois'!S57</f>
        <v/>
      </c>
      <c r="T51" s="24">
        <f>'Scénarios 18 mois'!T57</f>
        <v/>
      </c>
      <c r="U51" s="25">
        <f>SUM(C51:T51)</f>
        <v/>
      </c>
    </row>
    <row r="52">
      <c r="A52" s="20" t="inlineStr">
        <is>
          <t>Remboursements clients et SAV</t>
        </is>
      </c>
      <c r="C52" s="24">
        <f>'Scénarios 18 mois'!C53</f>
        <v/>
      </c>
      <c r="D52" s="24">
        <f>'Scénarios 18 mois'!D53</f>
        <v/>
      </c>
      <c r="E52" s="24">
        <f>'Scénarios 18 mois'!E53</f>
        <v/>
      </c>
      <c r="F52" s="24">
        <f>'Scénarios 18 mois'!F53</f>
        <v/>
      </c>
      <c r="G52" s="24">
        <f>'Scénarios 18 mois'!G53</f>
        <v/>
      </c>
      <c r="H52" s="24">
        <f>'Scénarios 18 mois'!H53</f>
        <v/>
      </c>
      <c r="I52" s="24">
        <f>'Scénarios 18 mois'!I53</f>
        <v/>
      </c>
      <c r="J52" s="24">
        <f>'Scénarios 18 mois'!J53</f>
        <v/>
      </c>
      <c r="K52" s="24">
        <f>'Scénarios 18 mois'!K53</f>
        <v/>
      </c>
      <c r="L52" s="24">
        <f>'Scénarios 18 mois'!L53</f>
        <v/>
      </c>
      <c r="M52" s="24">
        <f>'Scénarios 18 mois'!M53</f>
        <v/>
      </c>
      <c r="N52" s="24">
        <f>'Scénarios 18 mois'!N53</f>
        <v/>
      </c>
      <c r="O52" s="24">
        <f>'Scénarios 18 mois'!O53</f>
        <v/>
      </c>
      <c r="P52" s="24">
        <f>'Scénarios 18 mois'!P53</f>
        <v/>
      </c>
      <c r="Q52" s="24">
        <f>'Scénarios 18 mois'!Q53</f>
        <v/>
      </c>
      <c r="R52" s="24">
        <f>'Scénarios 18 mois'!R53</f>
        <v/>
      </c>
      <c r="S52" s="24">
        <f>'Scénarios 18 mois'!S53</f>
        <v/>
      </c>
      <c r="T52" s="24">
        <f>'Scénarios 18 mois'!T53</f>
        <v/>
      </c>
      <c r="U52" s="25">
        <f>SUM(C52:T52)</f>
        <v/>
      </c>
    </row>
    <row r="53">
      <c r="A53" s="20" t="inlineStr">
        <is>
          <t>TVA déductible du mois</t>
        </is>
      </c>
      <c r="C53" s="24">
        <f>C47+h_TVA*'Scénarios 18 mois'!C49</f>
        <v/>
      </c>
      <c r="D53" s="24">
        <f>D47+h_TVA*'Scénarios 18 mois'!D49</f>
        <v/>
      </c>
      <c r="E53" s="24">
        <f>E47+h_TVA*'Scénarios 18 mois'!E49</f>
        <v/>
      </c>
      <c r="F53" s="24">
        <f>F47+h_TVA*'Scénarios 18 mois'!F49</f>
        <v/>
      </c>
      <c r="G53" s="24">
        <f>G47+h_TVA*'Scénarios 18 mois'!G49</f>
        <v/>
      </c>
      <c r="H53" s="24">
        <f>H47+h_TVA*'Scénarios 18 mois'!H49</f>
        <v/>
      </c>
      <c r="I53" s="24">
        <f>I47+h_TVA*'Scénarios 18 mois'!I49</f>
        <v/>
      </c>
      <c r="J53" s="24">
        <f>J47+h_TVA*'Scénarios 18 mois'!J49</f>
        <v/>
      </c>
      <c r="K53" s="24">
        <f>K47+h_TVA*'Scénarios 18 mois'!K49</f>
        <v/>
      </c>
      <c r="L53" s="24">
        <f>L47+h_TVA*'Scénarios 18 mois'!L49</f>
        <v/>
      </c>
      <c r="M53" s="24">
        <f>M47+h_TVA*'Scénarios 18 mois'!M49</f>
        <v/>
      </c>
      <c r="N53" s="24">
        <f>N47+h_TVA*'Scénarios 18 mois'!N49</f>
        <v/>
      </c>
      <c r="O53" s="24">
        <f>O47+h_TVA*'Scénarios 18 mois'!O49</f>
        <v/>
      </c>
      <c r="P53" s="24">
        <f>P47+h_TVA*'Scénarios 18 mois'!P49</f>
        <v/>
      </c>
      <c r="Q53" s="24">
        <f>Q47+h_TVA*'Scénarios 18 mois'!Q49</f>
        <v/>
      </c>
      <c r="R53" s="24">
        <f>R47+h_TVA*'Scénarios 18 mois'!R49</f>
        <v/>
      </c>
      <c r="S53" s="24">
        <f>S47+h_TVA*'Scénarios 18 mois'!S49</f>
        <v/>
      </c>
      <c r="T53" s="24">
        <f>T47+h_TVA*'Scénarios 18 mois'!T49</f>
        <v/>
      </c>
    </row>
    <row r="54">
      <c r="A54" s="20" t="inlineStr">
        <is>
          <t>TVA nette reversée (mois suivant)</t>
        </is>
      </c>
      <c r="C54" s="24">
        <f>0</f>
        <v/>
      </c>
      <c r="D54" s="24">
        <f>'Scénarios 18 mois'!C47-C53</f>
        <v/>
      </c>
      <c r="E54" s="24">
        <f>'Scénarios 18 mois'!D47-D53</f>
        <v/>
      </c>
      <c r="F54" s="24">
        <f>'Scénarios 18 mois'!E47-E53</f>
        <v/>
      </c>
      <c r="G54" s="24">
        <f>'Scénarios 18 mois'!F47-F53</f>
        <v/>
      </c>
      <c r="H54" s="24">
        <f>'Scénarios 18 mois'!G47-G53</f>
        <v/>
      </c>
      <c r="I54" s="24">
        <f>'Scénarios 18 mois'!H47-H53</f>
        <v/>
      </c>
      <c r="J54" s="24">
        <f>'Scénarios 18 mois'!I47-I53</f>
        <v/>
      </c>
      <c r="K54" s="24">
        <f>'Scénarios 18 mois'!J47-J53</f>
        <v/>
      </c>
      <c r="L54" s="24">
        <f>'Scénarios 18 mois'!K47-K53</f>
        <v/>
      </c>
      <c r="M54" s="24">
        <f>'Scénarios 18 mois'!L47-L53</f>
        <v/>
      </c>
      <c r="N54" s="24">
        <f>'Scénarios 18 mois'!M47-M53</f>
        <v/>
      </c>
      <c r="O54" s="24">
        <f>'Scénarios 18 mois'!N47-N53</f>
        <v/>
      </c>
      <c r="P54" s="24">
        <f>'Scénarios 18 mois'!O47-O53</f>
        <v/>
      </c>
      <c r="Q54" s="24">
        <f>'Scénarios 18 mois'!P47-P53</f>
        <v/>
      </c>
      <c r="R54" s="24">
        <f>'Scénarios 18 mois'!Q47-Q53</f>
        <v/>
      </c>
      <c r="S54" s="24">
        <f>'Scénarios 18 mois'!R47-R53</f>
        <v/>
      </c>
      <c r="T54" s="24">
        <f>'Scénarios 18 mois'!S47-S53</f>
        <v/>
      </c>
      <c r="U54" s="25">
        <f>SUM(C54:T54)</f>
        <v/>
      </c>
    </row>
    <row r="55">
      <c r="A55" s="20" t="inlineStr">
        <is>
          <t>IS payé (solde 2027 dû en mai 2028, hors horizon)</t>
        </is>
      </c>
      <c r="C55" s="24">
        <f>0</f>
        <v/>
      </c>
      <c r="D55" s="24">
        <f>0</f>
        <v/>
      </c>
      <c r="E55" s="24">
        <f>0</f>
        <v/>
      </c>
      <c r="F55" s="24">
        <f>0</f>
        <v/>
      </c>
      <c r="G55" s="24">
        <f>0</f>
        <v/>
      </c>
      <c r="H55" s="24">
        <f>0</f>
        <v/>
      </c>
      <c r="I55" s="24">
        <f>0</f>
        <v/>
      </c>
      <c r="J55" s="24">
        <f>0</f>
        <v/>
      </c>
      <c r="K55" s="24">
        <f>0</f>
        <v/>
      </c>
      <c r="L55" s="24">
        <f>0</f>
        <v/>
      </c>
      <c r="M55" s="24">
        <f>0</f>
        <v/>
      </c>
      <c r="N55" s="24">
        <f>0</f>
        <v/>
      </c>
      <c r="O55" s="24">
        <f>0</f>
        <v/>
      </c>
      <c r="P55" s="24">
        <f>0</f>
        <v/>
      </c>
      <c r="Q55" s="24">
        <f>0</f>
        <v/>
      </c>
      <c r="R55" s="24">
        <f>0</f>
        <v/>
      </c>
      <c r="S55" s="24">
        <f>0</f>
        <v/>
      </c>
      <c r="T55" s="24">
        <f>0</f>
        <v/>
      </c>
    </row>
    <row r="56">
      <c r="A56" s="22" t="inlineStr">
        <is>
          <t>Total des décaissements</t>
        </is>
      </c>
      <c r="C56" s="25">
        <f>C45+C47+C48+C49+C50+C51+C52+C54+C55</f>
        <v/>
      </c>
      <c r="D56" s="25">
        <f>D45+D47+D48+D49+D50+D51+D52+D54+D55</f>
        <v/>
      </c>
      <c r="E56" s="25">
        <f>E45+E47+E48+E49+E50+E51+E52+E54+E55</f>
        <v/>
      </c>
      <c r="F56" s="25">
        <f>F45+F47+F48+F49+F50+F51+F52+F54+F55</f>
        <v/>
      </c>
      <c r="G56" s="25">
        <f>G45+G47+G48+G49+G50+G51+G52+G54+G55</f>
        <v/>
      </c>
      <c r="H56" s="25">
        <f>H45+H47+H48+H49+H50+H51+H52+H54+H55</f>
        <v/>
      </c>
      <c r="I56" s="25">
        <f>I45+I47+I48+I49+I50+I51+I52+I54+I55</f>
        <v/>
      </c>
      <c r="J56" s="25">
        <f>J45+J47+J48+J49+J50+J51+J52+J54+J55</f>
        <v/>
      </c>
      <c r="K56" s="25">
        <f>K45+K47+K48+K49+K50+K51+K52+K54+K55</f>
        <v/>
      </c>
      <c r="L56" s="25">
        <f>L45+L47+L48+L49+L50+L51+L52+L54+L55</f>
        <v/>
      </c>
      <c r="M56" s="25">
        <f>M45+M47+M48+M49+M50+M51+M52+M54+M55</f>
        <v/>
      </c>
      <c r="N56" s="25">
        <f>N45+N47+N48+N49+N50+N51+N52+N54+N55</f>
        <v/>
      </c>
      <c r="O56" s="25">
        <f>O45+O47+O48+O49+O50+O51+O52+O54+O55</f>
        <v/>
      </c>
      <c r="P56" s="25">
        <f>P45+P47+P48+P49+P50+P51+P52+P54+P55</f>
        <v/>
      </c>
      <c r="Q56" s="25">
        <f>Q45+Q47+Q48+Q49+Q50+Q51+Q52+Q54+Q55</f>
        <v/>
      </c>
      <c r="R56" s="25">
        <f>R45+R47+R48+R49+R50+R51+R52+R54+R55</f>
        <v/>
      </c>
      <c r="S56" s="25">
        <f>S45+S47+S48+S49+S50+S51+S52+S54+S55</f>
        <v/>
      </c>
      <c r="T56" s="25">
        <f>T45+T47+T48+T49+T50+T51+T52+T54+T55</f>
        <v/>
      </c>
      <c r="U56" s="25">
        <f>SUM(C56:T56)</f>
        <v/>
      </c>
    </row>
    <row r="57">
      <c r="A57" s="22" t="inlineStr">
        <is>
          <t>Flux de trésorerie du mois</t>
        </is>
      </c>
      <c r="C57" s="25">
        <f>C43-C56</f>
        <v/>
      </c>
      <c r="D57" s="25">
        <f>D43-D56</f>
        <v/>
      </c>
      <c r="E57" s="25">
        <f>E43-E56</f>
        <v/>
      </c>
      <c r="F57" s="25">
        <f>F43-F56</f>
        <v/>
      </c>
      <c r="G57" s="25">
        <f>G43-G56</f>
        <v/>
      </c>
      <c r="H57" s="25">
        <f>H43-H56</f>
        <v/>
      </c>
      <c r="I57" s="25">
        <f>I43-I56</f>
        <v/>
      </c>
      <c r="J57" s="25">
        <f>J43-J56</f>
        <v/>
      </c>
      <c r="K57" s="25">
        <f>K43-K56</f>
        <v/>
      </c>
      <c r="L57" s="25">
        <f>L43-L56</f>
        <v/>
      </c>
      <c r="M57" s="25">
        <f>M43-M56</f>
        <v/>
      </c>
      <c r="N57" s="25">
        <f>N43-N56</f>
        <v/>
      </c>
      <c r="O57" s="25">
        <f>O43-O56</f>
        <v/>
      </c>
      <c r="P57" s="25">
        <f>P43-P56</f>
        <v/>
      </c>
      <c r="Q57" s="25">
        <f>Q43-Q56</f>
        <v/>
      </c>
      <c r="R57" s="25">
        <f>R43-R56</f>
        <v/>
      </c>
      <c r="S57" s="25">
        <f>S43-S56</f>
        <v/>
      </c>
      <c r="T57" s="25">
        <f>T43-T56</f>
        <v/>
      </c>
      <c r="U57" s="25">
        <f>SUM(C57:T57)</f>
        <v/>
      </c>
    </row>
    <row r="58">
      <c r="A58" s="22" t="inlineStr">
        <is>
          <t>Trésorerie en fin de mois (départ : h_TRESO_INITIALE)</t>
        </is>
      </c>
      <c r="C58" s="26">
        <f>h_TRESO_INITIALE+C57</f>
        <v/>
      </c>
      <c r="D58" s="26">
        <f>C58+D57</f>
        <v/>
      </c>
      <c r="E58" s="26">
        <f>D58+E57</f>
        <v/>
      </c>
      <c r="F58" s="26">
        <f>E58+F57</f>
        <v/>
      </c>
      <c r="G58" s="26">
        <f>F58+G57</f>
        <v/>
      </c>
      <c r="H58" s="26">
        <f>G58+H57</f>
        <v/>
      </c>
      <c r="I58" s="26">
        <f>H58+I57</f>
        <v/>
      </c>
      <c r="J58" s="26">
        <f>I58+J57</f>
        <v/>
      </c>
      <c r="K58" s="26">
        <f>J58+K57</f>
        <v/>
      </c>
      <c r="L58" s="26">
        <f>K58+L57</f>
        <v/>
      </c>
      <c r="M58" s="26">
        <f>L58+M57</f>
        <v/>
      </c>
      <c r="N58" s="26">
        <f>M58+N57</f>
        <v/>
      </c>
      <c r="O58" s="26">
        <f>N58+O57</f>
        <v/>
      </c>
      <c r="P58" s="26">
        <f>O58+P57</f>
        <v/>
      </c>
      <c r="Q58" s="26">
        <f>P58+Q57</f>
        <v/>
      </c>
      <c r="R58" s="26">
        <f>Q58+R57</f>
        <v/>
      </c>
      <c r="S58" s="26">
        <f>R58+S57</f>
        <v/>
      </c>
      <c r="T58" s="26">
        <f>S58+T57</f>
        <v/>
      </c>
    </row>
    <row r="59">
      <c r="A59" s="22" t="inlineStr">
        <is>
          <t>Besoin de trésorerie (creux le plus bas, signe inversé)</t>
        </is>
      </c>
      <c r="C59" s="26">
        <f>-MIN(0,MIN(C58:T58))</f>
        <v/>
      </c>
    </row>
    <row r="62">
      <c r="A62" s="4" t="inlineStr">
        <is>
          <t>Scénario optimiste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  <row r="63">
      <c r="A63" s="3" t="inlineStr">
        <is>
          <t>Ligne</t>
        </is>
      </c>
      <c r="B63" s="3" t="inlineStr"/>
      <c r="C63" s="3" t="inlineStr">
        <is>
          <t>oct. 2026</t>
        </is>
      </c>
      <c r="D63" s="3" t="inlineStr">
        <is>
          <t>nov. 2026</t>
        </is>
      </c>
      <c r="E63" s="3" t="inlineStr">
        <is>
          <t>déc. 2026</t>
        </is>
      </c>
      <c r="F63" s="3" t="inlineStr">
        <is>
          <t>janv. 2027</t>
        </is>
      </c>
      <c r="G63" s="3" t="inlineStr">
        <is>
          <t>févr. 2027</t>
        </is>
      </c>
      <c r="H63" s="3" t="inlineStr">
        <is>
          <t>mars 2027</t>
        </is>
      </c>
      <c r="I63" s="3" t="inlineStr">
        <is>
          <t>avr. 2027</t>
        </is>
      </c>
      <c r="J63" s="3" t="inlineStr">
        <is>
          <t>mai 2027</t>
        </is>
      </c>
      <c r="K63" s="3" t="inlineStr">
        <is>
          <t>juin 2027</t>
        </is>
      </c>
      <c r="L63" s="3" t="inlineStr">
        <is>
          <t>juil. 2027</t>
        </is>
      </c>
      <c r="M63" s="3" t="inlineStr">
        <is>
          <t>août 2027</t>
        </is>
      </c>
      <c r="N63" s="3" t="inlineStr">
        <is>
          <t>sept. 2027</t>
        </is>
      </c>
      <c r="O63" s="3" t="inlineStr">
        <is>
          <t>oct. 2027</t>
        </is>
      </c>
      <c r="P63" s="3" t="inlineStr">
        <is>
          <t>nov. 2027</t>
        </is>
      </c>
      <c r="Q63" s="3" t="inlineStr">
        <is>
          <t>déc. 2027</t>
        </is>
      </c>
      <c r="R63" s="3" t="inlineStr">
        <is>
          <t>janv. 2028</t>
        </is>
      </c>
      <c r="S63" s="3" t="inlineStr">
        <is>
          <t>févr. 2028</t>
        </is>
      </c>
      <c r="T63" s="3" t="inlineStr">
        <is>
          <t>mars 2028</t>
        </is>
      </c>
      <c r="U63" s="3" t="inlineStr">
        <is>
          <t>Total</t>
        </is>
      </c>
    </row>
    <row r="64">
      <c r="A64" s="20" t="inlineStr">
        <is>
          <t>Ventes du site nettes de frais de paiement (dues)</t>
        </is>
      </c>
      <c r="C64" s="24">
        <f>'Scénarios 18 mois'!C71*(ue_SITE_TTC-ue_SITE_PAY)+'Scénarios 18 mois'!C74*(ue_PUB_TTC-ue_PUB_PAY)</f>
        <v/>
      </c>
      <c r="D64" s="24">
        <f>'Scénarios 18 mois'!D71*(ue_SITE_TTC-ue_SITE_PAY)+'Scénarios 18 mois'!D74*(ue_PUB_TTC-ue_PUB_PAY)</f>
        <v/>
      </c>
      <c r="E64" s="24">
        <f>'Scénarios 18 mois'!E71*(ue_SITE_TTC-ue_SITE_PAY)+'Scénarios 18 mois'!E74*(ue_PUB_TTC-ue_PUB_PAY)</f>
        <v/>
      </c>
      <c r="F64" s="24">
        <f>'Scénarios 18 mois'!F71*(ue_SITE_TTC-ue_SITE_PAY)+'Scénarios 18 mois'!F74*(ue_PUB_TTC-ue_PUB_PAY)</f>
        <v/>
      </c>
      <c r="G64" s="24">
        <f>'Scénarios 18 mois'!G71*(ue_SITE_TTC-ue_SITE_PAY)+'Scénarios 18 mois'!G74*(ue_PUB_TTC-ue_PUB_PAY)</f>
        <v/>
      </c>
      <c r="H64" s="24">
        <f>'Scénarios 18 mois'!H71*(ue_SITE_TTC-ue_SITE_PAY)+'Scénarios 18 mois'!H74*(ue_PUB_TTC-ue_PUB_PAY)</f>
        <v/>
      </c>
      <c r="I64" s="24">
        <f>'Scénarios 18 mois'!I71*(ue_SITE_TTC-ue_SITE_PAY)+'Scénarios 18 mois'!I74*(ue_PUB_TTC-ue_PUB_PAY)</f>
        <v/>
      </c>
      <c r="J64" s="24">
        <f>'Scénarios 18 mois'!J71*(ue_SITE_TTC-ue_SITE_PAY)+'Scénarios 18 mois'!J74*(ue_PUB_TTC-ue_PUB_PAY)</f>
        <v/>
      </c>
      <c r="K64" s="24">
        <f>'Scénarios 18 mois'!K71*(ue_SITE_TTC-ue_SITE_PAY)+'Scénarios 18 mois'!K74*(ue_PUB_TTC-ue_PUB_PAY)</f>
        <v/>
      </c>
      <c r="L64" s="24">
        <f>'Scénarios 18 mois'!L71*(ue_SITE_TTC-ue_SITE_PAY)+'Scénarios 18 mois'!L74*(ue_PUB_TTC-ue_PUB_PAY)</f>
        <v/>
      </c>
      <c r="M64" s="24">
        <f>'Scénarios 18 mois'!M71*(ue_SITE_TTC-ue_SITE_PAY)+'Scénarios 18 mois'!M74*(ue_PUB_TTC-ue_PUB_PAY)</f>
        <v/>
      </c>
      <c r="N64" s="24">
        <f>'Scénarios 18 mois'!N71*(ue_SITE_TTC-ue_SITE_PAY)+'Scénarios 18 mois'!N74*(ue_PUB_TTC-ue_PUB_PAY)</f>
        <v/>
      </c>
      <c r="O64" s="24">
        <f>'Scénarios 18 mois'!O71*(ue_SITE_TTC-ue_SITE_PAY)+'Scénarios 18 mois'!O74*(ue_PUB_TTC-ue_PUB_PAY)</f>
        <v/>
      </c>
      <c r="P64" s="24">
        <f>'Scénarios 18 mois'!P71*(ue_SITE_TTC-ue_SITE_PAY)+'Scénarios 18 mois'!P74*(ue_PUB_TTC-ue_PUB_PAY)</f>
        <v/>
      </c>
      <c r="Q64" s="24">
        <f>'Scénarios 18 mois'!Q71*(ue_SITE_TTC-ue_SITE_PAY)+'Scénarios 18 mois'!Q74*(ue_PUB_TTC-ue_PUB_PAY)</f>
        <v/>
      </c>
      <c r="R64" s="24">
        <f>'Scénarios 18 mois'!R71*(ue_SITE_TTC-ue_SITE_PAY)+'Scénarios 18 mois'!R74*(ue_PUB_TTC-ue_PUB_PAY)</f>
        <v/>
      </c>
      <c r="S64" s="24">
        <f>'Scénarios 18 mois'!S71*(ue_SITE_TTC-ue_SITE_PAY)+'Scénarios 18 mois'!S74*(ue_PUB_TTC-ue_PUB_PAY)</f>
        <v/>
      </c>
      <c r="T64" s="24">
        <f>'Scénarios 18 mois'!T71*(ue_SITE_TTC-ue_SITE_PAY)+'Scénarios 18 mois'!T74*(ue_PUB_TTC-ue_PUB_PAY)</f>
        <v/>
      </c>
    </row>
    <row r="65">
      <c r="A65" s="20" t="inlineStr">
        <is>
          <t>Encaissement Stripe / Shopify Payments</t>
        </is>
      </c>
      <c r="C65" s="24">
        <f>C64*(1-'Hypothèses'!C197/30)</f>
        <v/>
      </c>
      <c r="D65" s="24">
        <f>D64*(1-'Hypothèses'!D197/30)+C64*'Hypothèses'!C197/30</f>
        <v/>
      </c>
      <c r="E65" s="24">
        <f>E64*(1-'Hypothèses'!E197/30)+D64*'Hypothèses'!D197/30</f>
        <v/>
      </c>
      <c r="F65" s="24">
        <f>F64*(1-'Hypothèses'!F197/30)+E64*'Hypothèses'!E197/30</f>
        <v/>
      </c>
      <c r="G65" s="24">
        <f>G64*(1-'Hypothèses'!G197/30)+F64*'Hypothèses'!F197/30</f>
        <v/>
      </c>
      <c r="H65" s="24">
        <f>H64*(1-'Hypothèses'!H197/30)+G64*'Hypothèses'!G197/30</f>
        <v/>
      </c>
      <c r="I65" s="24">
        <f>I64*(1-'Hypothèses'!I197/30)+H64*'Hypothèses'!H197/30</f>
        <v/>
      </c>
      <c r="J65" s="24">
        <f>J64*(1-'Hypothèses'!J197/30)+I64*'Hypothèses'!I197/30</f>
        <v/>
      </c>
      <c r="K65" s="24">
        <f>K64*(1-'Hypothèses'!K197/30)+J64*'Hypothèses'!J197/30</f>
        <v/>
      </c>
      <c r="L65" s="24">
        <f>L64*(1-'Hypothèses'!L197/30)+K64*'Hypothèses'!K197/30</f>
        <v/>
      </c>
      <c r="M65" s="24">
        <f>M64*(1-'Hypothèses'!M197/30)+L64*'Hypothèses'!L197/30</f>
        <v/>
      </c>
      <c r="N65" s="24">
        <f>N64*(1-'Hypothèses'!N197/30)+M64*'Hypothèses'!M197/30</f>
        <v/>
      </c>
      <c r="O65" s="24">
        <f>O64*(1-'Hypothèses'!O197/30)+N64*'Hypothèses'!N197/30</f>
        <v/>
      </c>
      <c r="P65" s="24">
        <f>P64*(1-'Hypothèses'!P197/30)+O64*'Hypothèses'!O197/30</f>
        <v/>
      </c>
      <c r="Q65" s="24">
        <f>Q64*(1-'Hypothèses'!Q197/30)+P64*'Hypothèses'!P197/30</f>
        <v/>
      </c>
      <c r="R65" s="24">
        <f>R64*(1-'Hypothèses'!R197/30)+Q64*'Hypothèses'!Q197/30</f>
        <v/>
      </c>
      <c r="S65" s="24">
        <f>S64*(1-'Hypothèses'!S197/30)+R64*'Hypothèses'!R197/30</f>
        <v/>
      </c>
      <c r="T65" s="24">
        <f>T64*(1-'Hypothèses'!T197/30)+S64*'Hypothèses'!S197/30</f>
        <v/>
      </c>
      <c r="U65" s="25">
        <f>SUM(C65:T65)</f>
        <v/>
      </c>
    </row>
    <row r="66">
      <c r="A66" s="20" t="inlineStr">
        <is>
          <t>Ventes TikTok Shop nettes de commissions (dues)</t>
        </is>
      </c>
      <c r="C66" s="24">
        <f>('Scénarios 18 mois'!C72+'Scénarios 18 mois'!C73)*ue_TTS_TTC*(1-'Hypothèses'!C191)-'Scénarios 18 mois'!C73*ue_TTS_TTC*h_CREA_COMM</f>
        <v/>
      </c>
      <c r="D66" s="24">
        <f>('Scénarios 18 mois'!D72+'Scénarios 18 mois'!D73)*ue_TTS_TTC*(1-'Hypothèses'!D191)-'Scénarios 18 mois'!D73*ue_TTS_TTC*h_CREA_COMM</f>
        <v/>
      </c>
      <c r="E66" s="24">
        <f>('Scénarios 18 mois'!E72+'Scénarios 18 mois'!E73)*ue_TTS_TTC*(1-'Hypothèses'!E191)-'Scénarios 18 mois'!E73*ue_TTS_TTC*h_CREA_COMM</f>
        <v/>
      </c>
      <c r="F66" s="24">
        <f>('Scénarios 18 mois'!F72+'Scénarios 18 mois'!F73)*ue_TTS_TTC*(1-'Hypothèses'!F191)-'Scénarios 18 mois'!F73*ue_TTS_TTC*h_CREA_COMM</f>
        <v/>
      </c>
      <c r="G66" s="24">
        <f>('Scénarios 18 mois'!G72+'Scénarios 18 mois'!G73)*ue_TTS_TTC*(1-'Hypothèses'!G191)-'Scénarios 18 mois'!G73*ue_TTS_TTC*h_CREA_COMM</f>
        <v/>
      </c>
      <c r="H66" s="24">
        <f>('Scénarios 18 mois'!H72+'Scénarios 18 mois'!H73)*ue_TTS_TTC*(1-'Hypothèses'!H191)-'Scénarios 18 mois'!H73*ue_TTS_TTC*h_CREA_COMM</f>
        <v/>
      </c>
      <c r="I66" s="24">
        <f>('Scénarios 18 mois'!I72+'Scénarios 18 mois'!I73)*ue_TTS_TTC*(1-'Hypothèses'!I191)-'Scénarios 18 mois'!I73*ue_TTS_TTC*h_CREA_COMM</f>
        <v/>
      </c>
      <c r="J66" s="24">
        <f>('Scénarios 18 mois'!J72+'Scénarios 18 mois'!J73)*ue_TTS_TTC*(1-'Hypothèses'!J191)-'Scénarios 18 mois'!J73*ue_TTS_TTC*h_CREA_COMM</f>
        <v/>
      </c>
      <c r="K66" s="24">
        <f>('Scénarios 18 mois'!K72+'Scénarios 18 mois'!K73)*ue_TTS_TTC*(1-'Hypothèses'!K191)-'Scénarios 18 mois'!K73*ue_TTS_TTC*h_CREA_COMM</f>
        <v/>
      </c>
      <c r="L66" s="24">
        <f>('Scénarios 18 mois'!L72+'Scénarios 18 mois'!L73)*ue_TTS_TTC*(1-'Hypothèses'!L191)-'Scénarios 18 mois'!L73*ue_TTS_TTC*h_CREA_COMM</f>
        <v/>
      </c>
      <c r="M66" s="24">
        <f>('Scénarios 18 mois'!M72+'Scénarios 18 mois'!M73)*ue_TTS_TTC*(1-'Hypothèses'!M191)-'Scénarios 18 mois'!M73*ue_TTS_TTC*h_CREA_COMM</f>
        <v/>
      </c>
      <c r="N66" s="24">
        <f>('Scénarios 18 mois'!N72+'Scénarios 18 mois'!N73)*ue_TTS_TTC*(1-'Hypothèses'!N191)-'Scénarios 18 mois'!N73*ue_TTS_TTC*h_CREA_COMM</f>
        <v/>
      </c>
      <c r="O66" s="24">
        <f>('Scénarios 18 mois'!O72+'Scénarios 18 mois'!O73)*ue_TTS_TTC*(1-'Hypothèses'!O191)-'Scénarios 18 mois'!O73*ue_TTS_TTC*h_CREA_COMM</f>
        <v/>
      </c>
      <c r="P66" s="24">
        <f>('Scénarios 18 mois'!P72+'Scénarios 18 mois'!P73)*ue_TTS_TTC*(1-'Hypothèses'!P191)-'Scénarios 18 mois'!P73*ue_TTS_TTC*h_CREA_COMM</f>
        <v/>
      </c>
      <c r="Q66" s="24">
        <f>('Scénarios 18 mois'!Q72+'Scénarios 18 mois'!Q73)*ue_TTS_TTC*(1-'Hypothèses'!Q191)-'Scénarios 18 mois'!Q73*ue_TTS_TTC*h_CREA_COMM</f>
        <v/>
      </c>
      <c r="R66" s="24">
        <f>('Scénarios 18 mois'!R72+'Scénarios 18 mois'!R73)*ue_TTS_TTC*(1-'Hypothèses'!R191)-'Scénarios 18 mois'!R73*ue_TTS_TTC*h_CREA_COMM</f>
        <v/>
      </c>
      <c r="S66" s="24">
        <f>('Scénarios 18 mois'!S72+'Scénarios 18 mois'!S73)*ue_TTS_TTC*(1-'Hypothèses'!S191)-'Scénarios 18 mois'!S73*ue_TTS_TTC*h_CREA_COMM</f>
        <v/>
      </c>
      <c r="T66" s="24">
        <f>('Scénarios 18 mois'!T72+'Scénarios 18 mois'!T73)*ue_TTS_TTC*(1-'Hypothèses'!T191)-'Scénarios 18 mois'!T73*ue_TTS_TTC*h_CREA_COMM</f>
        <v/>
      </c>
    </row>
    <row r="67">
      <c r="A67" s="20" t="inlineStr">
        <is>
          <t>Délai d'encaissement TikTok Shop (jours)</t>
        </is>
      </c>
      <c r="C67" s="16">
        <f>'Hypothèses'!C198</f>
        <v/>
      </c>
      <c r="D67" s="16">
        <f>'Hypothèses'!D198</f>
        <v/>
      </c>
      <c r="E67" s="16">
        <f>'Hypothèses'!E198</f>
        <v/>
      </c>
      <c r="F67" s="16">
        <f>'Hypothèses'!F198</f>
        <v/>
      </c>
      <c r="G67" s="16">
        <f>'Hypothèses'!G198</f>
        <v/>
      </c>
      <c r="H67" s="16">
        <f>'Hypothèses'!H198</f>
        <v/>
      </c>
      <c r="I67" s="16">
        <f>'Hypothèses'!I198</f>
        <v/>
      </c>
      <c r="J67" s="16">
        <f>'Hypothèses'!J198</f>
        <v/>
      </c>
      <c r="K67" s="16">
        <f>'Hypothèses'!K198</f>
        <v/>
      </c>
      <c r="L67" s="16">
        <f>'Hypothèses'!L198</f>
        <v/>
      </c>
      <c r="M67" s="16">
        <f>'Hypothèses'!M198</f>
        <v/>
      </c>
      <c r="N67" s="16">
        <f>'Hypothèses'!N198</f>
        <v/>
      </c>
      <c r="O67" s="16">
        <f>'Hypothèses'!O198</f>
        <v/>
      </c>
      <c r="P67" s="16">
        <f>'Hypothèses'!P198</f>
        <v/>
      </c>
      <c r="Q67" s="16">
        <f>'Hypothèses'!Q198</f>
        <v/>
      </c>
      <c r="R67" s="16">
        <f>'Hypothèses'!R198</f>
        <v/>
      </c>
      <c r="S67" s="16">
        <f>'Hypothèses'!S198</f>
        <v/>
      </c>
      <c r="T67" s="16">
        <f>'Hypothèses'!T198</f>
        <v/>
      </c>
    </row>
    <row r="68">
      <c r="A68" s="20" t="inlineStr">
        <is>
          <t>Part encaissée le mois même</t>
        </is>
      </c>
      <c r="C68" s="11">
        <f>MAX(0,1-C67/30)</f>
        <v/>
      </c>
      <c r="D68" s="11">
        <f>MAX(0,1-D67/30)</f>
        <v/>
      </c>
      <c r="E68" s="11">
        <f>MAX(0,1-E67/30)</f>
        <v/>
      </c>
      <c r="F68" s="11">
        <f>MAX(0,1-F67/30)</f>
        <v/>
      </c>
      <c r="G68" s="11">
        <f>MAX(0,1-G67/30)</f>
        <v/>
      </c>
      <c r="H68" s="11">
        <f>MAX(0,1-H67/30)</f>
        <v/>
      </c>
      <c r="I68" s="11">
        <f>MAX(0,1-I67/30)</f>
        <v/>
      </c>
      <c r="J68" s="11">
        <f>MAX(0,1-J67/30)</f>
        <v/>
      </c>
      <c r="K68" s="11">
        <f>MAX(0,1-K67/30)</f>
        <v/>
      </c>
      <c r="L68" s="11">
        <f>MAX(0,1-L67/30)</f>
        <v/>
      </c>
      <c r="M68" s="11">
        <f>MAX(0,1-M67/30)</f>
        <v/>
      </c>
      <c r="N68" s="11">
        <f>MAX(0,1-N67/30)</f>
        <v/>
      </c>
      <c r="O68" s="11">
        <f>MAX(0,1-O67/30)</f>
        <v/>
      </c>
      <c r="P68" s="11">
        <f>MAX(0,1-P67/30)</f>
        <v/>
      </c>
      <c r="Q68" s="11">
        <f>MAX(0,1-Q67/30)</f>
        <v/>
      </c>
      <c r="R68" s="11">
        <f>MAX(0,1-R67/30)</f>
        <v/>
      </c>
      <c r="S68" s="11">
        <f>MAX(0,1-S67/30)</f>
        <v/>
      </c>
      <c r="T68" s="11">
        <f>MAX(0,1-T67/30)</f>
        <v/>
      </c>
    </row>
    <row r="69">
      <c r="A69" s="20" t="inlineStr">
        <is>
          <t>Part encaissée le mois suivant</t>
        </is>
      </c>
      <c r="C69" s="11">
        <f>IF(C67&lt;=30,C67/30,(60-C67)/30)</f>
        <v/>
      </c>
      <c r="D69" s="11">
        <f>IF(D67&lt;=30,D67/30,(60-D67)/30)</f>
        <v/>
      </c>
      <c r="E69" s="11">
        <f>IF(E67&lt;=30,E67/30,(60-E67)/30)</f>
        <v/>
      </c>
      <c r="F69" s="11">
        <f>IF(F67&lt;=30,F67/30,(60-F67)/30)</f>
        <v/>
      </c>
      <c r="G69" s="11">
        <f>IF(G67&lt;=30,G67/30,(60-G67)/30)</f>
        <v/>
      </c>
      <c r="H69" s="11">
        <f>IF(H67&lt;=30,H67/30,(60-H67)/30)</f>
        <v/>
      </c>
      <c r="I69" s="11">
        <f>IF(I67&lt;=30,I67/30,(60-I67)/30)</f>
        <v/>
      </c>
      <c r="J69" s="11">
        <f>IF(J67&lt;=30,J67/30,(60-J67)/30)</f>
        <v/>
      </c>
      <c r="K69" s="11">
        <f>IF(K67&lt;=30,K67/30,(60-K67)/30)</f>
        <v/>
      </c>
      <c r="L69" s="11">
        <f>IF(L67&lt;=30,L67/30,(60-L67)/30)</f>
        <v/>
      </c>
      <c r="M69" s="11">
        <f>IF(M67&lt;=30,M67/30,(60-M67)/30)</f>
        <v/>
      </c>
      <c r="N69" s="11">
        <f>IF(N67&lt;=30,N67/30,(60-N67)/30)</f>
        <v/>
      </c>
      <c r="O69" s="11">
        <f>IF(O67&lt;=30,O67/30,(60-O67)/30)</f>
        <v/>
      </c>
      <c r="P69" s="11">
        <f>IF(P67&lt;=30,P67/30,(60-P67)/30)</f>
        <v/>
      </c>
      <c r="Q69" s="11">
        <f>IF(Q67&lt;=30,Q67/30,(60-Q67)/30)</f>
        <v/>
      </c>
      <c r="R69" s="11">
        <f>IF(R67&lt;=30,R67/30,(60-R67)/30)</f>
        <v/>
      </c>
      <c r="S69" s="11">
        <f>IF(S67&lt;=30,S67/30,(60-S67)/30)</f>
        <v/>
      </c>
      <c r="T69" s="11">
        <f>IF(T67&lt;=30,T67/30,(60-T67)/30)</f>
        <v/>
      </c>
    </row>
    <row r="70">
      <c r="A70" s="20" t="inlineStr">
        <is>
          <t>Part encaissée à M+2</t>
        </is>
      </c>
      <c r="C70" s="11">
        <f>MAX(0,(C67-30)/30)</f>
        <v/>
      </c>
      <c r="D70" s="11">
        <f>MAX(0,(D67-30)/30)</f>
        <v/>
      </c>
      <c r="E70" s="11">
        <f>MAX(0,(E67-30)/30)</f>
        <v/>
      </c>
      <c r="F70" s="11">
        <f>MAX(0,(F67-30)/30)</f>
        <v/>
      </c>
      <c r="G70" s="11">
        <f>MAX(0,(G67-30)/30)</f>
        <v/>
      </c>
      <c r="H70" s="11">
        <f>MAX(0,(H67-30)/30)</f>
        <v/>
      </c>
      <c r="I70" s="11">
        <f>MAX(0,(I67-30)/30)</f>
        <v/>
      </c>
      <c r="J70" s="11">
        <f>MAX(0,(J67-30)/30)</f>
        <v/>
      </c>
      <c r="K70" s="11">
        <f>MAX(0,(K67-30)/30)</f>
        <v/>
      </c>
      <c r="L70" s="11">
        <f>MAX(0,(L67-30)/30)</f>
        <v/>
      </c>
      <c r="M70" s="11">
        <f>MAX(0,(M67-30)/30)</f>
        <v/>
      </c>
      <c r="N70" s="11">
        <f>MAX(0,(N67-30)/30)</f>
        <v/>
      </c>
      <c r="O70" s="11">
        <f>MAX(0,(O67-30)/30)</f>
        <v/>
      </c>
      <c r="P70" s="11">
        <f>MAX(0,(P67-30)/30)</f>
        <v/>
      </c>
      <c r="Q70" s="11">
        <f>MAX(0,(Q67-30)/30)</f>
        <v/>
      </c>
      <c r="R70" s="11">
        <f>MAX(0,(R67-30)/30)</f>
        <v/>
      </c>
      <c r="S70" s="11">
        <f>MAX(0,(S67-30)/30)</f>
        <v/>
      </c>
      <c r="T70" s="11">
        <f>MAX(0,(T67-30)/30)</f>
        <v/>
      </c>
    </row>
    <row r="71">
      <c r="A71" s="20" t="inlineStr">
        <is>
          <t>Encaissement TikTok Shop</t>
        </is>
      </c>
      <c r="C71" s="24">
        <f>C66*C68</f>
        <v/>
      </c>
      <c r="D71" s="24">
        <f>D66*D68+C66*C69</f>
        <v/>
      </c>
      <c r="E71" s="24">
        <f>E66*E68+D66*D69+C66*C70</f>
        <v/>
      </c>
      <c r="F71" s="24">
        <f>F66*F68+E66*E69+D66*D70</f>
        <v/>
      </c>
      <c r="G71" s="24">
        <f>G66*G68+F66*F69+E66*E70</f>
        <v/>
      </c>
      <c r="H71" s="24">
        <f>H66*H68+G66*G69+F66*F70</f>
        <v/>
      </c>
      <c r="I71" s="24">
        <f>I66*I68+H66*H69+G66*G70</f>
        <v/>
      </c>
      <c r="J71" s="24">
        <f>J66*J68+I66*I69+H66*H70</f>
        <v/>
      </c>
      <c r="K71" s="24">
        <f>K66*K68+J66*J69+I66*I70</f>
        <v/>
      </c>
      <c r="L71" s="24">
        <f>L66*L68+K66*K69+J66*J70</f>
        <v/>
      </c>
      <c r="M71" s="24">
        <f>M66*M68+L66*L69+K66*K70</f>
        <v/>
      </c>
      <c r="N71" s="24">
        <f>N66*N68+M66*M69+L66*L70</f>
        <v/>
      </c>
      <c r="O71" s="24">
        <f>O66*O68+N66*N69+M66*M70</f>
        <v/>
      </c>
      <c r="P71" s="24">
        <f>P66*P68+O66*O69+N66*N70</f>
        <v/>
      </c>
      <c r="Q71" s="24">
        <f>Q66*Q68+P66*P69+O66*O70</f>
        <v/>
      </c>
      <c r="R71" s="24">
        <f>R66*R68+Q66*Q69+P66*P70</f>
        <v/>
      </c>
      <c r="S71" s="24">
        <f>S66*S68+R66*R69+Q66*Q70</f>
        <v/>
      </c>
      <c r="T71" s="24">
        <f>T66*T68+S66*S69+R66*R70</f>
        <v/>
      </c>
      <c r="U71" s="25">
        <f>SUM(C71:T71)</f>
        <v/>
      </c>
    </row>
    <row r="72">
      <c r="A72" s="22" t="inlineStr">
        <is>
          <t>Total des encaissements</t>
        </is>
      </c>
      <c r="C72" s="25">
        <f>C65+C71</f>
        <v/>
      </c>
      <c r="D72" s="25">
        <f>D65+D71</f>
        <v/>
      </c>
      <c r="E72" s="25">
        <f>E65+E71</f>
        <v/>
      </c>
      <c r="F72" s="25">
        <f>F65+F71</f>
        <v/>
      </c>
      <c r="G72" s="25">
        <f>G65+G71</f>
        <v/>
      </c>
      <c r="H72" s="25">
        <f>H65+H71</f>
        <v/>
      </c>
      <c r="I72" s="25">
        <f>I65+I71</f>
        <v/>
      </c>
      <c r="J72" s="25">
        <f>J65+J71</f>
        <v/>
      </c>
      <c r="K72" s="25">
        <f>K65+K71</f>
        <v/>
      </c>
      <c r="L72" s="25">
        <f>L65+L71</f>
        <v/>
      </c>
      <c r="M72" s="25">
        <f>M65+M71</f>
        <v/>
      </c>
      <c r="N72" s="25">
        <f>N65+N71</f>
        <v/>
      </c>
      <c r="O72" s="25">
        <f>O65+O71</f>
        <v/>
      </c>
      <c r="P72" s="25">
        <f>P65+P71</f>
        <v/>
      </c>
      <c r="Q72" s="25">
        <f>Q65+Q71</f>
        <v/>
      </c>
      <c r="R72" s="25">
        <f>R65+R71</f>
        <v/>
      </c>
      <c r="S72" s="25">
        <f>S65+S71</f>
        <v/>
      </c>
      <c r="T72" s="25">
        <f>T65+T71</f>
        <v/>
      </c>
      <c r="U72" s="25">
        <f>SUM(C72:T72)</f>
        <v/>
      </c>
    </row>
    <row r="73">
      <c r="A73" s="20" t="inlineStr">
        <is>
          <t>Stock en fin de mois (coût HT)</t>
        </is>
      </c>
      <c r="C73" s="24">
        <f>'Hypothèses'!C196*'Scénarios 18 mois'!D80</f>
        <v/>
      </c>
      <c r="D73" s="24">
        <f>'Hypothèses'!D196*'Scénarios 18 mois'!E80</f>
        <v/>
      </c>
      <c r="E73" s="24">
        <f>'Hypothèses'!E196*'Scénarios 18 mois'!F80</f>
        <v/>
      </c>
      <c r="F73" s="24">
        <f>'Hypothèses'!F196*'Scénarios 18 mois'!G80</f>
        <v/>
      </c>
      <c r="G73" s="24">
        <f>'Hypothèses'!G196*'Scénarios 18 mois'!H80</f>
        <v/>
      </c>
      <c r="H73" s="24">
        <f>'Hypothèses'!H196*'Scénarios 18 mois'!I80</f>
        <v/>
      </c>
      <c r="I73" s="24">
        <f>'Hypothèses'!I196*'Scénarios 18 mois'!J80</f>
        <v/>
      </c>
      <c r="J73" s="24">
        <f>'Hypothèses'!J196*'Scénarios 18 mois'!K80</f>
        <v/>
      </c>
      <c r="K73" s="24">
        <f>'Hypothèses'!K196*'Scénarios 18 mois'!L80</f>
        <v/>
      </c>
      <c r="L73" s="24">
        <f>'Hypothèses'!L196*'Scénarios 18 mois'!M80</f>
        <v/>
      </c>
      <c r="M73" s="24">
        <f>'Hypothèses'!M196*'Scénarios 18 mois'!N80</f>
        <v/>
      </c>
      <c r="N73" s="24">
        <f>'Hypothèses'!N196*'Scénarios 18 mois'!O80</f>
        <v/>
      </c>
      <c r="O73" s="24">
        <f>'Hypothèses'!O196*'Scénarios 18 mois'!P80</f>
        <v/>
      </c>
      <c r="P73" s="24">
        <f>'Hypothèses'!P196*'Scénarios 18 mois'!Q80</f>
        <v/>
      </c>
      <c r="Q73" s="24">
        <f>'Hypothèses'!Q196*'Scénarios 18 mois'!R80</f>
        <v/>
      </c>
      <c r="R73" s="24">
        <f>'Hypothèses'!R196*'Scénarios 18 mois'!S80</f>
        <v/>
      </c>
      <c r="S73" s="24">
        <f>'Hypothèses'!S196*'Scénarios 18 mois'!T80</f>
        <v/>
      </c>
      <c r="T73" s="24">
        <f>'Hypothèses'!T196*'Scénarios 18 mois'!T80</f>
        <v/>
      </c>
    </row>
    <row r="74">
      <c r="A74" s="20" t="inlineStr">
        <is>
          <t>Achats de stock HT (payés à la commande)</t>
        </is>
      </c>
      <c r="C74" s="24">
        <f>'Scénarios 18 mois'!C80+C73</f>
        <v/>
      </c>
      <c r="D74" s="24">
        <f>'Scénarios 18 mois'!D80+D73-C73</f>
        <v/>
      </c>
      <c r="E74" s="24">
        <f>'Scénarios 18 mois'!E80+E73-D73</f>
        <v/>
      </c>
      <c r="F74" s="24">
        <f>'Scénarios 18 mois'!F80+F73-E73</f>
        <v/>
      </c>
      <c r="G74" s="24">
        <f>'Scénarios 18 mois'!G80+G73-F73</f>
        <v/>
      </c>
      <c r="H74" s="24">
        <f>'Scénarios 18 mois'!H80+H73-G73</f>
        <v/>
      </c>
      <c r="I74" s="24">
        <f>'Scénarios 18 mois'!I80+I73-H73</f>
        <v/>
      </c>
      <c r="J74" s="24">
        <f>'Scénarios 18 mois'!J80+J73-I73</f>
        <v/>
      </c>
      <c r="K74" s="24">
        <f>'Scénarios 18 mois'!K80+K73-J73</f>
        <v/>
      </c>
      <c r="L74" s="24">
        <f>'Scénarios 18 mois'!L80+L73-K73</f>
        <v/>
      </c>
      <c r="M74" s="24">
        <f>'Scénarios 18 mois'!M80+M73-L73</f>
        <v/>
      </c>
      <c r="N74" s="24">
        <f>'Scénarios 18 mois'!N80+N73-M73</f>
        <v/>
      </c>
      <c r="O74" s="24">
        <f>'Scénarios 18 mois'!O80+O73-N73</f>
        <v/>
      </c>
      <c r="P74" s="24">
        <f>'Scénarios 18 mois'!P80+P73-O73</f>
        <v/>
      </c>
      <c r="Q74" s="24">
        <f>'Scénarios 18 mois'!Q80+Q73-P73</f>
        <v/>
      </c>
      <c r="R74" s="24">
        <f>'Scénarios 18 mois'!R80+R73-Q73</f>
        <v/>
      </c>
      <c r="S74" s="24">
        <f>'Scénarios 18 mois'!S80+S73-R73</f>
        <v/>
      </c>
      <c r="T74" s="24">
        <f>'Scénarios 18 mois'!T80+T73-S73</f>
        <v/>
      </c>
      <c r="U74" s="25">
        <f>SUM(C74:T74)</f>
        <v/>
      </c>
    </row>
    <row r="75">
      <c r="A75" s="20" t="inlineStr">
        <is>
          <t>Achat en import groupé (TVA autoliquidée, 1 = oui)</t>
        </is>
      </c>
      <c r="C75" s="27">
        <f>'Hypothèses'!D192</f>
        <v/>
      </c>
      <c r="D75" s="27">
        <f>'Hypothèses'!E192</f>
        <v/>
      </c>
      <c r="E75" s="27">
        <f>'Hypothèses'!F192</f>
        <v/>
      </c>
      <c r="F75" s="27">
        <f>'Hypothèses'!G192</f>
        <v/>
      </c>
      <c r="G75" s="27">
        <f>'Hypothèses'!H192</f>
        <v/>
      </c>
      <c r="H75" s="27">
        <f>'Hypothèses'!I192</f>
        <v/>
      </c>
      <c r="I75" s="27">
        <f>'Hypothèses'!J192</f>
        <v/>
      </c>
      <c r="J75" s="27">
        <f>'Hypothèses'!K192</f>
        <v/>
      </c>
      <c r="K75" s="27">
        <f>'Hypothèses'!L192</f>
        <v/>
      </c>
      <c r="L75" s="27">
        <f>'Hypothèses'!M192</f>
        <v/>
      </c>
      <c r="M75" s="27">
        <f>'Hypothèses'!N192</f>
        <v/>
      </c>
      <c r="N75" s="27">
        <f>'Hypothèses'!O192</f>
        <v/>
      </c>
      <c r="O75" s="27">
        <f>'Hypothèses'!P192</f>
        <v/>
      </c>
      <c r="P75" s="27">
        <f>'Hypothèses'!Q192</f>
        <v/>
      </c>
      <c r="Q75" s="27">
        <f>'Hypothèses'!R192</f>
        <v/>
      </c>
      <c r="R75" s="27">
        <f>'Hypothèses'!S192</f>
        <v/>
      </c>
      <c r="S75" s="27">
        <f>'Hypothèses'!T192</f>
        <v/>
      </c>
      <c r="T75" s="27">
        <f>'Hypothèses'!T192</f>
        <v/>
      </c>
    </row>
    <row r="76">
      <c r="A76" s="20" t="inlineStr">
        <is>
          <t>TVA payée sur achats de micro-stock</t>
        </is>
      </c>
      <c r="C76" s="24">
        <f>h_TVA*C74*(1-C75)</f>
        <v/>
      </c>
      <c r="D76" s="24">
        <f>h_TVA*D74*(1-D75)</f>
        <v/>
      </c>
      <c r="E76" s="24">
        <f>h_TVA*E74*(1-E75)</f>
        <v/>
      </c>
      <c r="F76" s="24">
        <f>h_TVA*F74*(1-F75)</f>
        <v/>
      </c>
      <c r="G76" s="24">
        <f>h_TVA*G74*(1-G75)</f>
        <v/>
      </c>
      <c r="H76" s="24">
        <f>h_TVA*H74*(1-H75)</f>
        <v/>
      </c>
      <c r="I76" s="24">
        <f>h_TVA*I74*(1-I75)</f>
        <v/>
      </c>
      <c r="J76" s="24">
        <f>h_TVA*J74*(1-J75)</f>
        <v/>
      </c>
      <c r="K76" s="24">
        <f>h_TVA*K74*(1-K75)</f>
        <v/>
      </c>
      <c r="L76" s="24">
        <f>h_TVA*L74*(1-L75)</f>
        <v/>
      </c>
      <c r="M76" s="24">
        <f>h_TVA*M74*(1-M75)</f>
        <v/>
      </c>
      <c r="N76" s="24">
        <f>h_TVA*N74*(1-N75)</f>
        <v/>
      </c>
      <c r="O76" s="24">
        <f>h_TVA*O74*(1-O75)</f>
        <v/>
      </c>
      <c r="P76" s="24">
        <f>h_TVA*P74*(1-P75)</f>
        <v/>
      </c>
      <c r="Q76" s="24">
        <f>h_TVA*Q74*(1-Q75)</f>
        <v/>
      </c>
      <c r="R76" s="24">
        <f>h_TVA*R74*(1-R75)</f>
        <v/>
      </c>
      <c r="S76" s="24">
        <f>h_TVA*S74*(1-S75)</f>
        <v/>
      </c>
      <c r="T76" s="24">
        <f>h_TVA*T74*(1-T75)</f>
        <v/>
      </c>
      <c r="U76" s="25">
        <f>SUM(C76:T76)</f>
        <v/>
      </c>
    </row>
    <row r="77">
      <c r="A77" s="20" t="inlineStr">
        <is>
          <t>Étiquettes, emballage, 3PL (TTC)</t>
        </is>
      </c>
      <c r="C77" s="24">
        <f>'Scénarios 18 mois'!C81*(1+h_TVA)</f>
        <v/>
      </c>
      <c r="D77" s="24">
        <f>'Scénarios 18 mois'!D81*(1+h_TVA)</f>
        <v/>
      </c>
      <c r="E77" s="24">
        <f>'Scénarios 18 mois'!E81*(1+h_TVA)</f>
        <v/>
      </c>
      <c r="F77" s="24">
        <f>'Scénarios 18 mois'!F81*(1+h_TVA)</f>
        <v/>
      </c>
      <c r="G77" s="24">
        <f>'Scénarios 18 mois'!G81*(1+h_TVA)</f>
        <v/>
      </c>
      <c r="H77" s="24">
        <f>'Scénarios 18 mois'!H81*(1+h_TVA)</f>
        <v/>
      </c>
      <c r="I77" s="24">
        <f>'Scénarios 18 mois'!I81*(1+h_TVA)</f>
        <v/>
      </c>
      <c r="J77" s="24">
        <f>'Scénarios 18 mois'!J81*(1+h_TVA)</f>
        <v/>
      </c>
      <c r="K77" s="24">
        <f>'Scénarios 18 mois'!K81*(1+h_TVA)</f>
        <v/>
      </c>
      <c r="L77" s="24">
        <f>'Scénarios 18 mois'!L81*(1+h_TVA)</f>
        <v/>
      </c>
      <c r="M77" s="24">
        <f>'Scénarios 18 mois'!M81*(1+h_TVA)</f>
        <v/>
      </c>
      <c r="N77" s="24">
        <f>'Scénarios 18 mois'!N81*(1+h_TVA)</f>
        <v/>
      </c>
      <c r="O77" s="24">
        <f>'Scénarios 18 mois'!O81*(1+h_TVA)</f>
        <v/>
      </c>
      <c r="P77" s="24">
        <f>'Scénarios 18 mois'!P81*(1+h_TVA)</f>
        <v/>
      </c>
      <c r="Q77" s="24">
        <f>'Scénarios 18 mois'!Q81*(1+h_TVA)</f>
        <v/>
      </c>
      <c r="R77" s="24">
        <f>'Scénarios 18 mois'!R81*(1+h_TVA)</f>
        <v/>
      </c>
      <c r="S77" s="24">
        <f>'Scénarios 18 mois'!S81*(1+h_TVA)</f>
        <v/>
      </c>
      <c r="T77" s="24">
        <f>'Scénarios 18 mois'!T81*(1+h_TVA)</f>
        <v/>
      </c>
      <c r="U77" s="25">
        <f>SUM(C77:T77)</f>
        <v/>
      </c>
    </row>
    <row r="78">
      <c r="A78" s="20" t="inlineStr">
        <is>
          <t>Publicité</t>
        </is>
      </c>
      <c r="C78" s="24">
        <f>'Scénarios 18 mois'!C87</f>
        <v/>
      </c>
      <c r="D78" s="24">
        <f>'Scénarios 18 mois'!D87</f>
        <v/>
      </c>
      <c r="E78" s="24">
        <f>'Scénarios 18 mois'!E87</f>
        <v/>
      </c>
      <c r="F78" s="24">
        <f>'Scénarios 18 mois'!F87</f>
        <v/>
      </c>
      <c r="G78" s="24">
        <f>'Scénarios 18 mois'!G87</f>
        <v/>
      </c>
      <c r="H78" s="24">
        <f>'Scénarios 18 mois'!H87</f>
        <v/>
      </c>
      <c r="I78" s="24">
        <f>'Scénarios 18 mois'!I87</f>
        <v/>
      </c>
      <c r="J78" s="24">
        <f>'Scénarios 18 mois'!J87</f>
        <v/>
      </c>
      <c r="K78" s="24">
        <f>'Scénarios 18 mois'!K87</f>
        <v/>
      </c>
      <c r="L78" s="24">
        <f>'Scénarios 18 mois'!L87</f>
        <v/>
      </c>
      <c r="M78" s="24">
        <f>'Scénarios 18 mois'!M87</f>
        <v/>
      </c>
      <c r="N78" s="24">
        <f>'Scénarios 18 mois'!N87</f>
        <v/>
      </c>
      <c r="O78" s="24">
        <f>'Scénarios 18 mois'!O87</f>
        <v/>
      </c>
      <c r="P78" s="24">
        <f>'Scénarios 18 mois'!P87</f>
        <v/>
      </c>
      <c r="Q78" s="24">
        <f>'Scénarios 18 mois'!Q87</f>
        <v/>
      </c>
      <c r="R78" s="24">
        <f>'Scénarios 18 mois'!R87</f>
        <v/>
      </c>
      <c r="S78" s="24">
        <f>'Scénarios 18 mois'!S87</f>
        <v/>
      </c>
      <c r="T78" s="24">
        <f>'Scénarios 18 mois'!T87</f>
        <v/>
      </c>
      <c r="U78" s="25">
        <f>SUM(C78:T78)</f>
        <v/>
      </c>
    </row>
    <row r="79">
      <c r="A79" s="20" t="inlineStr">
        <is>
          <t>Échantillons créateurs</t>
        </is>
      </c>
      <c r="C79" s="24">
        <f>'Scénarios 18 mois'!C88</f>
        <v/>
      </c>
      <c r="D79" s="24">
        <f>'Scénarios 18 mois'!D88</f>
        <v/>
      </c>
      <c r="E79" s="24">
        <f>'Scénarios 18 mois'!E88</f>
        <v/>
      </c>
      <c r="F79" s="24">
        <f>'Scénarios 18 mois'!F88</f>
        <v/>
      </c>
      <c r="G79" s="24">
        <f>'Scénarios 18 mois'!G88</f>
        <v/>
      </c>
      <c r="H79" s="24">
        <f>'Scénarios 18 mois'!H88</f>
        <v/>
      </c>
      <c r="I79" s="24">
        <f>'Scénarios 18 mois'!I88</f>
        <v/>
      </c>
      <c r="J79" s="24">
        <f>'Scénarios 18 mois'!J88</f>
        <v/>
      </c>
      <c r="K79" s="24">
        <f>'Scénarios 18 mois'!K88</f>
        <v/>
      </c>
      <c r="L79" s="24">
        <f>'Scénarios 18 mois'!L88</f>
        <v/>
      </c>
      <c r="M79" s="24">
        <f>'Scénarios 18 mois'!M88</f>
        <v/>
      </c>
      <c r="N79" s="24">
        <f>'Scénarios 18 mois'!N88</f>
        <v/>
      </c>
      <c r="O79" s="24">
        <f>'Scénarios 18 mois'!O88</f>
        <v/>
      </c>
      <c r="P79" s="24">
        <f>'Scénarios 18 mois'!P88</f>
        <v/>
      </c>
      <c r="Q79" s="24">
        <f>'Scénarios 18 mois'!Q88</f>
        <v/>
      </c>
      <c r="R79" s="24">
        <f>'Scénarios 18 mois'!R88</f>
        <v/>
      </c>
      <c r="S79" s="24">
        <f>'Scénarios 18 mois'!S88</f>
        <v/>
      </c>
      <c r="T79" s="24">
        <f>'Scénarios 18 mois'!T88</f>
        <v/>
      </c>
      <c r="U79" s="25">
        <f>SUM(C79:T79)</f>
        <v/>
      </c>
    </row>
    <row r="80">
      <c r="A80" s="20" t="inlineStr">
        <is>
          <t>Frais fixes et ponctuels</t>
        </is>
      </c>
      <c r="C80" s="24">
        <f>'Scénarios 18 mois'!C89</f>
        <v/>
      </c>
      <c r="D80" s="24">
        <f>'Scénarios 18 mois'!D89</f>
        <v/>
      </c>
      <c r="E80" s="24">
        <f>'Scénarios 18 mois'!E89</f>
        <v/>
      </c>
      <c r="F80" s="24">
        <f>'Scénarios 18 mois'!F89</f>
        <v/>
      </c>
      <c r="G80" s="24">
        <f>'Scénarios 18 mois'!G89</f>
        <v/>
      </c>
      <c r="H80" s="24">
        <f>'Scénarios 18 mois'!H89</f>
        <v/>
      </c>
      <c r="I80" s="24">
        <f>'Scénarios 18 mois'!I89</f>
        <v/>
      </c>
      <c r="J80" s="24">
        <f>'Scénarios 18 mois'!J89</f>
        <v/>
      </c>
      <c r="K80" s="24">
        <f>'Scénarios 18 mois'!K89</f>
        <v/>
      </c>
      <c r="L80" s="24">
        <f>'Scénarios 18 mois'!L89</f>
        <v/>
      </c>
      <c r="M80" s="24">
        <f>'Scénarios 18 mois'!M89</f>
        <v/>
      </c>
      <c r="N80" s="24">
        <f>'Scénarios 18 mois'!N89</f>
        <v/>
      </c>
      <c r="O80" s="24">
        <f>'Scénarios 18 mois'!O89</f>
        <v/>
      </c>
      <c r="P80" s="24">
        <f>'Scénarios 18 mois'!P89</f>
        <v/>
      </c>
      <c r="Q80" s="24">
        <f>'Scénarios 18 mois'!Q89</f>
        <v/>
      </c>
      <c r="R80" s="24">
        <f>'Scénarios 18 mois'!R89</f>
        <v/>
      </c>
      <c r="S80" s="24">
        <f>'Scénarios 18 mois'!S89</f>
        <v/>
      </c>
      <c r="T80" s="24">
        <f>'Scénarios 18 mois'!T89</f>
        <v/>
      </c>
      <c r="U80" s="25">
        <f>SUM(C80:T80)</f>
        <v/>
      </c>
    </row>
    <row r="81">
      <c r="A81" s="20" t="inlineStr">
        <is>
          <t>Remboursements clients et SAV</t>
        </is>
      </c>
      <c r="C81" s="24">
        <f>'Scénarios 18 mois'!C85</f>
        <v/>
      </c>
      <c r="D81" s="24">
        <f>'Scénarios 18 mois'!D85</f>
        <v/>
      </c>
      <c r="E81" s="24">
        <f>'Scénarios 18 mois'!E85</f>
        <v/>
      </c>
      <c r="F81" s="24">
        <f>'Scénarios 18 mois'!F85</f>
        <v/>
      </c>
      <c r="G81" s="24">
        <f>'Scénarios 18 mois'!G85</f>
        <v/>
      </c>
      <c r="H81" s="24">
        <f>'Scénarios 18 mois'!H85</f>
        <v/>
      </c>
      <c r="I81" s="24">
        <f>'Scénarios 18 mois'!I85</f>
        <v/>
      </c>
      <c r="J81" s="24">
        <f>'Scénarios 18 mois'!J85</f>
        <v/>
      </c>
      <c r="K81" s="24">
        <f>'Scénarios 18 mois'!K85</f>
        <v/>
      </c>
      <c r="L81" s="24">
        <f>'Scénarios 18 mois'!L85</f>
        <v/>
      </c>
      <c r="M81" s="24">
        <f>'Scénarios 18 mois'!M85</f>
        <v/>
      </c>
      <c r="N81" s="24">
        <f>'Scénarios 18 mois'!N85</f>
        <v/>
      </c>
      <c r="O81" s="24">
        <f>'Scénarios 18 mois'!O85</f>
        <v/>
      </c>
      <c r="P81" s="24">
        <f>'Scénarios 18 mois'!P85</f>
        <v/>
      </c>
      <c r="Q81" s="24">
        <f>'Scénarios 18 mois'!Q85</f>
        <v/>
      </c>
      <c r="R81" s="24">
        <f>'Scénarios 18 mois'!R85</f>
        <v/>
      </c>
      <c r="S81" s="24">
        <f>'Scénarios 18 mois'!S85</f>
        <v/>
      </c>
      <c r="T81" s="24">
        <f>'Scénarios 18 mois'!T85</f>
        <v/>
      </c>
      <c r="U81" s="25">
        <f>SUM(C81:T81)</f>
        <v/>
      </c>
    </row>
    <row r="82">
      <c r="A82" s="20" t="inlineStr">
        <is>
          <t>TVA déductible du mois</t>
        </is>
      </c>
      <c r="C82" s="24">
        <f>C76+h_TVA*'Scénarios 18 mois'!C81</f>
        <v/>
      </c>
      <c r="D82" s="24">
        <f>D76+h_TVA*'Scénarios 18 mois'!D81</f>
        <v/>
      </c>
      <c r="E82" s="24">
        <f>E76+h_TVA*'Scénarios 18 mois'!E81</f>
        <v/>
      </c>
      <c r="F82" s="24">
        <f>F76+h_TVA*'Scénarios 18 mois'!F81</f>
        <v/>
      </c>
      <c r="G82" s="24">
        <f>G76+h_TVA*'Scénarios 18 mois'!G81</f>
        <v/>
      </c>
      <c r="H82" s="24">
        <f>H76+h_TVA*'Scénarios 18 mois'!H81</f>
        <v/>
      </c>
      <c r="I82" s="24">
        <f>I76+h_TVA*'Scénarios 18 mois'!I81</f>
        <v/>
      </c>
      <c r="J82" s="24">
        <f>J76+h_TVA*'Scénarios 18 mois'!J81</f>
        <v/>
      </c>
      <c r="K82" s="24">
        <f>K76+h_TVA*'Scénarios 18 mois'!K81</f>
        <v/>
      </c>
      <c r="L82" s="24">
        <f>L76+h_TVA*'Scénarios 18 mois'!L81</f>
        <v/>
      </c>
      <c r="M82" s="24">
        <f>M76+h_TVA*'Scénarios 18 mois'!M81</f>
        <v/>
      </c>
      <c r="N82" s="24">
        <f>N76+h_TVA*'Scénarios 18 mois'!N81</f>
        <v/>
      </c>
      <c r="O82" s="24">
        <f>O76+h_TVA*'Scénarios 18 mois'!O81</f>
        <v/>
      </c>
      <c r="P82" s="24">
        <f>P76+h_TVA*'Scénarios 18 mois'!P81</f>
        <v/>
      </c>
      <c r="Q82" s="24">
        <f>Q76+h_TVA*'Scénarios 18 mois'!Q81</f>
        <v/>
      </c>
      <c r="R82" s="24">
        <f>R76+h_TVA*'Scénarios 18 mois'!R81</f>
        <v/>
      </c>
      <c r="S82" s="24">
        <f>S76+h_TVA*'Scénarios 18 mois'!S81</f>
        <v/>
      </c>
      <c r="T82" s="24">
        <f>T76+h_TVA*'Scénarios 18 mois'!T81</f>
        <v/>
      </c>
    </row>
    <row r="83">
      <c r="A83" s="20" t="inlineStr">
        <is>
          <t>TVA nette reversée (mois suivant)</t>
        </is>
      </c>
      <c r="C83" s="24">
        <f>0</f>
        <v/>
      </c>
      <c r="D83" s="24">
        <f>'Scénarios 18 mois'!C79-C82</f>
        <v/>
      </c>
      <c r="E83" s="24">
        <f>'Scénarios 18 mois'!D79-D82</f>
        <v/>
      </c>
      <c r="F83" s="24">
        <f>'Scénarios 18 mois'!E79-E82</f>
        <v/>
      </c>
      <c r="G83" s="24">
        <f>'Scénarios 18 mois'!F79-F82</f>
        <v/>
      </c>
      <c r="H83" s="24">
        <f>'Scénarios 18 mois'!G79-G82</f>
        <v/>
      </c>
      <c r="I83" s="24">
        <f>'Scénarios 18 mois'!H79-H82</f>
        <v/>
      </c>
      <c r="J83" s="24">
        <f>'Scénarios 18 mois'!I79-I82</f>
        <v/>
      </c>
      <c r="K83" s="24">
        <f>'Scénarios 18 mois'!J79-J82</f>
        <v/>
      </c>
      <c r="L83" s="24">
        <f>'Scénarios 18 mois'!K79-K82</f>
        <v/>
      </c>
      <c r="M83" s="24">
        <f>'Scénarios 18 mois'!L79-L82</f>
        <v/>
      </c>
      <c r="N83" s="24">
        <f>'Scénarios 18 mois'!M79-M82</f>
        <v/>
      </c>
      <c r="O83" s="24">
        <f>'Scénarios 18 mois'!N79-N82</f>
        <v/>
      </c>
      <c r="P83" s="24">
        <f>'Scénarios 18 mois'!O79-O82</f>
        <v/>
      </c>
      <c r="Q83" s="24">
        <f>'Scénarios 18 mois'!P79-P82</f>
        <v/>
      </c>
      <c r="R83" s="24">
        <f>'Scénarios 18 mois'!Q79-Q82</f>
        <v/>
      </c>
      <c r="S83" s="24">
        <f>'Scénarios 18 mois'!R79-R82</f>
        <v/>
      </c>
      <c r="T83" s="24">
        <f>'Scénarios 18 mois'!S79-S82</f>
        <v/>
      </c>
      <c r="U83" s="25">
        <f>SUM(C83:T83)</f>
        <v/>
      </c>
    </row>
    <row r="84">
      <c r="A84" s="20" t="inlineStr">
        <is>
          <t>IS payé (solde 2027 dû en mai 2028, hors horizon)</t>
        </is>
      </c>
      <c r="C84" s="24">
        <f>0</f>
        <v/>
      </c>
      <c r="D84" s="24">
        <f>0</f>
        <v/>
      </c>
      <c r="E84" s="24">
        <f>0</f>
        <v/>
      </c>
      <c r="F84" s="24">
        <f>0</f>
        <v/>
      </c>
      <c r="G84" s="24">
        <f>0</f>
        <v/>
      </c>
      <c r="H84" s="24">
        <f>0</f>
        <v/>
      </c>
      <c r="I84" s="24">
        <f>0</f>
        <v/>
      </c>
      <c r="J84" s="24">
        <f>0</f>
        <v/>
      </c>
      <c r="K84" s="24">
        <f>0</f>
        <v/>
      </c>
      <c r="L84" s="24">
        <f>0</f>
        <v/>
      </c>
      <c r="M84" s="24">
        <f>0</f>
        <v/>
      </c>
      <c r="N84" s="24">
        <f>0</f>
        <v/>
      </c>
      <c r="O84" s="24">
        <f>0</f>
        <v/>
      </c>
      <c r="P84" s="24">
        <f>0</f>
        <v/>
      </c>
      <c r="Q84" s="24">
        <f>0</f>
        <v/>
      </c>
      <c r="R84" s="24">
        <f>0</f>
        <v/>
      </c>
      <c r="S84" s="24">
        <f>0</f>
        <v/>
      </c>
      <c r="T84" s="24">
        <f>0</f>
        <v/>
      </c>
    </row>
    <row r="85">
      <c r="A85" s="22" t="inlineStr">
        <is>
          <t>Total des décaissements</t>
        </is>
      </c>
      <c r="C85" s="25">
        <f>C74+C76+C77+C78+C79+C80+C81+C83+C84</f>
        <v/>
      </c>
      <c r="D85" s="25">
        <f>D74+D76+D77+D78+D79+D80+D81+D83+D84</f>
        <v/>
      </c>
      <c r="E85" s="25">
        <f>E74+E76+E77+E78+E79+E80+E81+E83+E84</f>
        <v/>
      </c>
      <c r="F85" s="25">
        <f>F74+F76+F77+F78+F79+F80+F81+F83+F84</f>
        <v/>
      </c>
      <c r="G85" s="25">
        <f>G74+G76+G77+G78+G79+G80+G81+G83+G84</f>
        <v/>
      </c>
      <c r="H85" s="25">
        <f>H74+H76+H77+H78+H79+H80+H81+H83+H84</f>
        <v/>
      </c>
      <c r="I85" s="25">
        <f>I74+I76+I77+I78+I79+I80+I81+I83+I84</f>
        <v/>
      </c>
      <c r="J85" s="25">
        <f>J74+J76+J77+J78+J79+J80+J81+J83+J84</f>
        <v/>
      </c>
      <c r="K85" s="25">
        <f>K74+K76+K77+K78+K79+K80+K81+K83+K84</f>
        <v/>
      </c>
      <c r="L85" s="25">
        <f>L74+L76+L77+L78+L79+L80+L81+L83+L84</f>
        <v/>
      </c>
      <c r="M85" s="25">
        <f>M74+M76+M77+M78+M79+M80+M81+M83+M84</f>
        <v/>
      </c>
      <c r="N85" s="25">
        <f>N74+N76+N77+N78+N79+N80+N81+N83+N84</f>
        <v/>
      </c>
      <c r="O85" s="25">
        <f>O74+O76+O77+O78+O79+O80+O81+O83+O84</f>
        <v/>
      </c>
      <c r="P85" s="25">
        <f>P74+P76+P77+P78+P79+P80+P81+P83+P84</f>
        <v/>
      </c>
      <c r="Q85" s="25">
        <f>Q74+Q76+Q77+Q78+Q79+Q80+Q81+Q83+Q84</f>
        <v/>
      </c>
      <c r="R85" s="25">
        <f>R74+R76+R77+R78+R79+R80+R81+R83+R84</f>
        <v/>
      </c>
      <c r="S85" s="25">
        <f>S74+S76+S77+S78+S79+S80+S81+S83+S84</f>
        <v/>
      </c>
      <c r="T85" s="25">
        <f>T74+T76+T77+T78+T79+T80+T81+T83+T84</f>
        <v/>
      </c>
      <c r="U85" s="25">
        <f>SUM(C85:T85)</f>
        <v/>
      </c>
    </row>
    <row r="86">
      <c r="A86" s="22" t="inlineStr">
        <is>
          <t>Flux de trésorerie du mois</t>
        </is>
      </c>
      <c r="C86" s="25">
        <f>C72-C85</f>
        <v/>
      </c>
      <c r="D86" s="25">
        <f>D72-D85</f>
        <v/>
      </c>
      <c r="E86" s="25">
        <f>E72-E85</f>
        <v/>
      </c>
      <c r="F86" s="25">
        <f>F72-F85</f>
        <v/>
      </c>
      <c r="G86" s="25">
        <f>G72-G85</f>
        <v/>
      </c>
      <c r="H86" s="25">
        <f>H72-H85</f>
        <v/>
      </c>
      <c r="I86" s="25">
        <f>I72-I85</f>
        <v/>
      </c>
      <c r="J86" s="25">
        <f>J72-J85</f>
        <v/>
      </c>
      <c r="K86" s="25">
        <f>K72-K85</f>
        <v/>
      </c>
      <c r="L86" s="25">
        <f>L72-L85</f>
        <v/>
      </c>
      <c r="M86" s="25">
        <f>M72-M85</f>
        <v/>
      </c>
      <c r="N86" s="25">
        <f>N72-N85</f>
        <v/>
      </c>
      <c r="O86" s="25">
        <f>O72-O85</f>
        <v/>
      </c>
      <c r="P86" s="25">
        <f>P72-P85</f>
        <v/>
      </c>
      <c r="Q86" s="25">
        <f>Q72-Q85</f>
        <v/>
      </c>
      <c r="R86" s="25">
        <f>R72-R85</f>
        <v/>
      </c>
      <c r="S86" s="25">
        <f>S72-S85</f>
        <v/>
      </c>
      <c r="T86" s="25">
        <f>T72-T85</f>
        <v/>
      </c>
      <c r="U86" s="25">
        <f>SUM(C86:T86)</f>
        <v/>
      </c>
    </row>
    <row r="87">
      <c r="A87" s="22" t="inlineStr">
        <is>
          <t>Trésorerie en fin de mois (départ : h_TRESO_INITIALE)</t>
        </is>
      </c>
      <c r="C87" s="26">
        <f>h_TRESO_INITIALE+C86</f>
        <v/>
      </c>
      <c r="D87" s="26">
        <f>C87+D86</f>
        <v/>
      </c>
      <c r="E87" s="26">
        <f>D87+E86</f>
        <v/>
      </c>
      <c r="F87" s="26">
        <f>E87+F86</f>
        <v/>
      </c>
      <c r="G87" s="26">
        <f>F87+G86</f>
        <v/>
      </c>
      <c r="H87" s="26">
        <f>G87+H86</f>
        <v/>
      </c>
      <c r="I87" s="26">
        <f>H87+I86</f>
        <v/>
      </c>
      <c r="J87" s="26">
        <f>I87+J86</f>
        <v/>
      </c>
      <c r="K87" s="26">
        <f>J87+K86</f>
        <v/>
      </c>
      <c r="L87" s="26">
        <f>K87+L86</f>
        <v/>
      </c>
      <c r="M87" s="26">
        <f>L87+M86</f>
        <v/>
      </c>
      <c r="N87" s="26">
        <f>M87+N86</f>
        <v/>
      </c>
      <c r="O87" s="26">
        <f>N87+O86</f>
        <v/>
      </c>
      <c r="P87" s="26">
        <f>O87+P86</f>
        <v/>
      </c>
      <c r="Q87" s="26">
        <f>P87+Q86</f>
        <v/>
      </c>
      <c r="R87" s="26">
        <f>Q87+R86</f>
        <v/>
      </c>
      <c r="S87" s="26">
        <f>R87+S86</f>
        <v/>
      </c>
      <c r="T87" s="26">
        <f>S87+T86</f>
        <v/>
      </c>
    </row>
    <row r="88">
      <c r="A88" s="22" t="inlineStr">
        <is>
          <t>Besoin de trésorerie (creux le plus bas, signe inversé)</t>
        </is>
      </c>
      <c r="C88" s="26">
        <f>-MIN(0,MIN(C87:T87))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Paliers de bénéfice net mensuel : ce qu'il faut réunir</t>
        </is>
      </c>
    </row>
    <row r="2">
      <c r="A2" s="2" t="inlineStr">
        <is>
          <t>Paliers 1 et 2 : calcul ascendant à partir des unit economics. Paliers 3 et 4 : calcul descendant à partir d'une marge nette type. Bénéfice net = avant IS et rémunération du dirigeant.</t>
        </is>
      </c>
    </row>
    <row r="4">
      <c r="A4" s="3" t="inlineStr">
        <is>
          <t>Indicateur</t>
        </is>
      </c>
      <c r="B4" s="3" t="inlineStr">
        <is>
          <t>Palier 1 — 1 k€</t>
        </is>
      </c>
      <c r="C4" s="3" t="inlineStr">
        <is>
          <t>Palier 2 — 10 k€</t>
        </is>
      </c>
      <c r="D4" s="3" t="inlineStr">
        <is>
          <t>Palier 3 — 100 k€</t>
        </is>
      </c>
      <c r="E4" s="3" t="inlineStr">
        <is>
          <t>Palier 4 — 1 M€</t>
        </is>
      </c>
    </row>
    <row r="5">
      <c r="A5" s="20" t="inlineStr">
        <is>
          <t>Bénéfice net visé (€ / mois)</t>
        </is>
      </c>
      <c r="B5" s="24">
        <f>1000</f>
        <v/>
      </c>
      <c r="C5" s="24">
        <f>10000</f>
        <v/>
      </c>
      <c r="D5" s="24">
        <f>100000</f>
        <v/>
      </c>
      <c r="E5" s="24">
        <f>1000000</f>
        <v/>
      </c>
    </row>
    <row r="6">
      <c r="A6" s="20" t="inlineStr">
        <is>
          <t>Marge par commande après publicité (paliers 1-2) ; bénéfice net par commande (paliers 3-4) (€)</t>
        </is>
      </c>
      <c r="B6" s="14">
        <f>ue_MIX_MARGE_MS</f>
        <v/>
      </c>
      <c r="C6" s="14">
        <f>(1-h_P2_PART_PUB)*ue_MIX_MARGE_IMP+h_P2_PART_PUB*(ue_PUB_MARGE_AVANT_PUB_IMP-C8)</f>
        <v/>
      </c>
      <c r="D6" s="14">
        <f>D5/D9</f>
        <v/>
      </c>
      <c r="E6" s="14">
        <f>E5/E9</f>
        <v/>
      </c>
    </row>
    <row r="7">
      <c r="A7" s="20" t="inlineStr">
        <is>
          <t>Frais fixes, personnel et échantillons (€ / mois)</t>
        </is>
      </c>
      <c r="B7" s="24">
        <f>(h_COMPTABLE+h_BANQUE+h_OUTILS+h_RC+h_DOMICILIATION+h_LEKO/12+h_MEDIATEUR/36+h_DOMAINE/12)+h_P1_ECH</f>
        <v/>
      </c>
      <c r="C7" s="24">
        <f>h_P2_FIXES_AUTRES+h_P2_PERSONNEL+h_P2_ECH</f>
        <v/>
      </c>
    </row>
    <row r="8">
      <c r="A8" s="20" t="inlineStr">
        <is>
          <t>CPA cible (€)</t>
        </is>
      </c>
      <c r="C8" s="14">
        <f>ue_PUB_MARGE_AVANT_PUB_IMP/h_MER_MARGE</f>
        <v/>
      </c>
    </row>
    <row r="9">
      <c r="A9" s="20" t="inlineStr">
        <is>
          <t>Commandes par mois</t>
        </is>
      </c>
      <c r="B9" s="16">
        <f>(B5+B7)/B6</f>
        <v/>
      </c>
      <c r="C9" s="16">
        <f>(C5+C7)/C6</f>
        <v/>
      </c>
      <c r="D9" s="16">
        <f>D12/h_P3_PANIER</f>
        <v/>
      </c>
      <c r="E9" s="16">
        <f>E12/h_P4_PANIER</f>
        <v/>
      </c>
    </row>
    <row r="10">
      <c r="A10" s="22" t="inlineStr">
        <is>
          <t>Commandes par jour</t>
        </is>
      </c>
      <c r="B10" s="19">
        <f>B9/30</f>
        <v/>
      </c>
      <c r="C10" s="19">
        <f>C9/30</f>
        <v/>
      </c>
      <c r="D10" s="19">
        <f>D9/30</f>
        <v/>
      </c>
      <c r="E10" s="19">
        <f>E9/30</f>
        <v/>
      </c>
    </row>
    <row r="11">
      <c r="A11" s="22" t="inlineStr">
        <is>
          <t>CA HT nécessaire (€ / mois)</t>
        </is>
      </c>
      <c r="B11" s="24">
        <f>B9*ue_MIX_HT</f>
        <v/>
      </c>
      <c r="C11" s="24">
        <f>C9*((1-h_P2_PART_PUB)*ue_MIX_HT+h_P2_PART_PUB*ue_PUB_HT)</f>
        <v/>
      </c>
      <c r="D11" s="24">
        <f>D5/h_P3_MARGE</f>
        <v/>
      </c>
      <c r="E11" s="24">
        <f>E5/h_P4_MARGE</f>
        <v/>
      </c>
    </row>
    <row r="12">
      <c r="A12" s="20" t="inlineStr">
        <is>
          <t>CA TTC (€ / mois)</t>
        </is>
      </c>
      <c r="B12" s="24">
        <f>B9*ue_MIX_TTC</f>
        <v/>
      </c>
      <c r="C12" s="24">
        <f>C9*((1-h_P2_PART_PUB)*ue_MIX_TTC+h_P2_PART_PUB*ue_PUB_TTC)</f>
        <v/>
      </c>
      <c r="D12" s="24">
        <f>D11*(1+h_TVA)</f>
        <v/>
      </c>
      <c r="E12" s="24">
        <f>E11*(1+h_TVA)</f>
        <v/>
      </c>
    </row>
    <row r="13">
      <c r="A13" s="20" t="inlineStr">
        <is>
          <t>Budget publicitaire (€ / mois)</t>
        </is>
      </c>
      <c r="B13" s="24">
        <f>0</f>
        <v/>
      </c>
      <c r="C13" s="24">
        <f>C9*h_P2_PART_PUB*C8</f>
        <v/>
      </c>
      <c r="D13" s="24">
        <f>h_P3_PUB*D11</f>
        <v/>
      </c>
      <c r="E13" s="24">
        <f>h_P4_PUB*E11</f>
        <v/>
      </c>
    </row>
    <row r="14">
      <c r="A14" s="20" t="inlineStr">
        <is>
          <t>Stock immobilisé (€)</t>
        </is>
      </c>
      <c r="B14" s="24">
        <f>h_COUV_MICRO*B9*ue_MIX_PROD_MS</f>
        <v/>
      </c>
      <c r="C14" s="24">
        <f>h_COUV_IMPORT*C9*((1-h_P2_PART_PUB)*ue_MIX_PROD_IMP+h_P2_PART_PUB*ue_PUB_PROD_IMP)</f>
        <v/>
      </c>
      <c r="D14" s="24">
        <f>h_COUV_IMPORT*h_P3_COGS*D11</f>
        <v/>
      </c>
      <c r="E14" s="24">
        <f>h_COUV_IMPORT*h_P4_COGS*E11</f>
        <v/>
      </c>
    </row>
    <row r="15">
      <c r="A15" s="20" t="inlineStr">
        <is>
          <t>Créances clients et plateformes (€)</t>
        </is>
      </c>
      <c r="B15" s="24">
        <f>B9*(1-h_MIX_SITE)*(ue_TTS_TTC*(1-h_TTS_COMM)-h_MIX_AFF/(1-h_MIX_SITE)*ue_TTS_TTC*h_CREA_COMM)*(h_TTS_LIVRAISON+h_TTS_STANDARD+h_TTS_VIREMENT)/30+B9*h_MIX_SITE*(ue_SITE_TTC-ue_SITE_PAY)*h_STRIPE_DELAI/30</f>
        <v/>
      </c>
      <c r="C15" s="24">
        <f>C9*(1-h_P2_PART_PUB)*(1-h_MIX_SITE)*(ue_TTS_TTC*(1-h_TTS_COMM)-h_MIX_AFF/(1-h_MIX_SITE)*ue_TTS_TTC*h_CREA_COMM)*(h_TTS_LIVRAISON+h_TTS_STANDARD+h_TTS_VIREMENT)/30+C9*((1-h_P2_PART_PUB)*h_MIX_SITE*(ue_SITE_TTC-ue_SITE_PAY)+h_P2_PART_PUB*(ue_PUB_TTC-ue_PUB_PAY))*h_STRIPE_DELAI/30</f>
        <v/>
      </c>
      <c r="D15" s="24">
        <f>h_PART_MARKETPLACE*D12*h_CREANCES_JOURS/30</f>
        <v/>
      </c>
      <c r="E15" s="24">
        <f>h_PART_MARKETPLACE*E12*h_CREANCES_JOURS/30</f>
        <v/>
      </c>
    </row>
    <row r="16">
      <c r="A16" s="20" t="inlineStr">
        <is>
          <t>Dettes TVA et fournisseurs (€)</t>
        </is>
      </c>
      <c r="B16" s="24">
        <f>B9*(ue_MIX_TTC-ue_MIX_HT)-h_TVA*B9*(ue_MIX_PROD_MS+ue_MIX_LOG_MS)</f>
        <v/>
      </c>
      <c r="C16" s="24">
        <f>(C12-C11)-h_TVA*C9*((1-h_P2_PART_PUB)*ue_MIX_LOG_IMP+h_P2_PART_PUB*ue_PUB_LOG_IMP)</f>
        <v/>
      </c>
      <c r="D16" s="24">
        <f>h_DETTES_FOURN_PART*h_P3_COGS*D11+h_TVA*D11*h_TVA_NETTE_RATIO</f>
        <v/>
      </c>
      <c r="E16" s="24">
        <f>h_DETTES_FOURN_PART*h_P4_COGS*E11+h_TVA*E11*h_TVA_NETTE_RATIO</f>
        <v/>
      </c>
    </row>
    <row r="17">
      <c r="A17" s="22" t="inlineStr">
        <is>
          <t>Besoin en fonds de roulement (€)</t>
        </is>
      </c>
      <c r="B17" s="24">
        <f>B14+B15-B16</f>
        <v/>
      </c>
      <c r="C17" s="24">
        <f>C14+C15-C16</f>
        <v/>
      </c>
      <c r="D17" s="24">
        <f>D14+D15-D16</f>
        <v/>
      </c>
      <c r="E17" s="24">
        <f>E14+E15-E16</f>
        <v/>
      </c>
    </row>
    <row r="18">
      <c r="A18" s="22" t="inlineStr">
        <is>
          <t>Effectif</t>
        </is>
      </c>
      <c r="B18" s="28" t="inlineStr">
        <is>
          <t>Fondateur seul, 20-25 h par semaine</t>
        </is>
      </c>
      <c r="C18" s="28" t="inlineStr">
        <is>
          <t>2 à 3 personnes : fondateur, assistant SAV à mi-temps, media buyer indépendant ; 3PL</t>
        </is>
      </c>
      <c r="D18" s="28" t="inlineStr">
        <is>
          <t>8 à 15 personnes ; 20-40 références</t>
        </is>
      </c>
      <c r="E18" s="28" t="inlineStr">
        <is>
          <t>50 à 100 personnes ; plusieurs gammes</t>
        </is>
      </c>
    </row>
    <row r="19">
      <c r="A19" s="22" t="inlineStr">
        <is>
          <t>Probabilité (stratégie 04)</t>
        </is>
      </c>
      <c r="B19" s="28" t="inlineStr">
        <is>
          <t>20-30 % à 6 mois ; 30-40 % à 12 mois</t>
        </is>
      </c>
      <c r="C19" s="28" t="inlineStr">
        <is>
          <t>5-10 % à 24 mois</t>
        </is>
      </c>
      <c r="D19" s="28" t="inlineStr">
        <is>
          <t>0,5-1,5 % à 4 ans</t>
        </is>
      </c>
      <c r="E19" s="28" t="inlineStr">
        <is>
          <t>≤ 0,1 % à 8 ans</t>
        </is>
      </c>
    </row>
    <row r="20">
      <c r="A20" s="22" t="inlineStr">
        <is>
          <t>Probabilité (lecture finance)</t>
        </is>
      </c>
      <c r="B20" s="28" t="inlineStr">
        <is>
          <t>10-20 % à 12 mois : P(porte 1) 35-50 % × P(trajectoire réaliste ou mieux, porte 1 franchie) 30-40 %</t>
        </is>
      </c>
      <c r="C20" s="28" t="inlineStr">
        <is>
          <t>3-5 % à 24 mois : P(porte 1) 35-50 % × P(trajectoire optimiste, porte 1 franchie) 8-10 % ; le CPA cible ≤ 16,70 € est le verrou</t>
        </is>
      </c>
      <c r="D20" s="28" t="inlineStr">
        <is>
          <t>0,5-1 % à 4 ans</t>
        </is>
      </c>
      <c r="E20" s="28" t="inlineStr">
        <is>
          <t>≤ 0,1 % à 8 ans</t>
        </is>
      </c>
    </row>
    <row r="21">
      <c r="A21" s="22" t="inlineStr">
        <is>
          <t>Délai estimé</t>
        </is>
      </c>
      <c r="B21" s="28" t="inlineStr">
        <is>
          <t>3 à 9 mois après les premières ventes (été 2027 dans le scénario réaliste)</t>
        </is>
      </c>
      <c r="C21" s="28" t="inlineStr">
        <is>
          <t>9 à 18 mois après le palier 1</t>
        </is>
      </c>
      <c r="D21" s="28" t="inlineStr">
        <is>
          <t>18 à 36 mois après le palier 2</t>
        </is>
      </c>
      <c r="E21" s="28" t="inlineStr">
        <is>
          <t>3 à 5 ans après le palier 3</t>
        </is>
      </c>
    </row>
    <row r="22">
      <c r="A22" s="22" t="inlineStr">
        <is>
          <t>Conditions de passage</t>
        </is>
      </c>
      <c r="B22" s="28" t="inlineStr">
        <is>
          <t>Porte 1 et porte 2 franchies ; ≈ 15 affiliés actifs ; 3 vidéos par jour ; marge moyenne ≥ 7,55 €</t>
        </is>
      </c>
      <c r="C22" s="28" t="inlineStr">
        <is>
          <t>Import groupé, 3PL, marque déposée, publicité rentable avec MER ≥ 1,2 × rentabilité, sortie de la franchise de TVA et de la micro-entreprise</t>
        </is>
      </c>
      <c r="D22" s="28" t="inlineStr">
        <is>
          <t>France &lt; 50 % du CA ; Allemagne, Italie, Espagne ; Amazon UE ; financement de stock bancaire ou BPI</t>
        </is>
      </c>
      <c r="E22" s="28" t="inlineStr">
        <is>
          <t>10 pays et plus, distribution physique, levée de fonds ou rachat de marques ; place l'entreprise dans le 1 % des sites qui font 78 % du 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Sensibilité du bénéfice mensuel à ±20 % de chaque variable (tornado)</t>
        </is>
      </c>
    </row>
    <row r="2">
      <c r="A2" s="2" t="inlineStr">
        <is>
          <t>Modèle réduit : bénéfice = Σ commandes × marge par canal − budget publicitaire − frais fixes − échantillons. Chaque ligne multiplie une seule variable par 0,8 ou 1,2. Prix ±20 % : les commandes restent constantes (effet sur la demande non modélisé). CPA ±20 % : budget constant, donc moins de commandes payantes.</t>
        </is>
      </c>
    </row>
    <row r="4">
      <c r="A4" s="4" t="inlineStr">
        <is>
          <t>Palier 1 — scénario réaliste, sept. 2027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3" t="inlineStr">
        <is>
          <t>Canal</t>
        </is>
      </c>
      <c r="B5" s="3" t="inlineStr">
        <is>
          <t>Commandes</t>
        </is>
      </c>
      <c r="C5" s="3" t="inlineStr">
        <is>
          <t>CA HT</t>
        </is>
      </c>
      <c r="D5" s="3" t="inlineStr">
        <is>
          <t>Produit</t>
        </is>
      </c>
      <c r="E5" s="3" t="inlineStr">
        <is>
          <t>Livraison</t>
        </is>
      </c>
      <c r="F5" s="3" t="inlineStr">
        <is>
          <t>Paiement %</t>
        </is>
      </c>
      <c r="G5" s="3" t="inlineStr">
        <is>
          <t>Paiement fixe</t>
        </is>
      </c>
      <c r="H5" s="3" t="inlineStr">
        <is>
          <t>Comm. TikTok</t>
        </is>
      </c>
      <c r="I5" s="3" t="inlineStr">
        <is>
          <t>Comm. créateur</t>
        </is>
      </c>
      <c r="J5" s="3" t="inlineStr">
        <is>
          <t>Provision</t>
        </is>
      </c>
    </row>
    <row r="6">
      <c r="A6" t="inlineStr">
        <is>
          <t>Site organique</t>
        </is>
      </c>
      <c r="B6" s="19">
        <f>'Scénarios 18 mois'!N39</f>
        <v/>
      </c>
      <c r="C6" s="14">
        <f>ue_SITE_HT</f>
        <v/>
      </c>
      <c r="D6" s="14">
        <f>ue_SITE_PROD_MS</f>
        <v/>
      </c>
      <c r="E6" s="14">
        <f>ue_SITE_LOG_MS</f>
        <v/>
      </c>
      <c r="F6" s="14">
        <f>h_STRIPE_PCT*ue_SITE_TTC</f>
        <v/>
      </c>
      <c r="G6" s="14">
        <f>h_STRIPE_FIXE</f>
        <v/>
      </c>
      <c r="H6" s="14">
        <f>0</f>
        <v/>
      </c>
      <c r="I6" s="14">
        <f>0</f>
        <v/>
      </c>
      <c r="J6" s="14">
        <f>h_PROV_RETOURS*C6</f>
        <v/>
      </c>
    </row>
    <row r="7">
      <c r="A7" t="inlineStr">
        <is>
          <t>TikTok Shop contenu propre</t>
        </is>
      </c>
      <c r="B7" s="19">
        <f>'Scénarios 18 mois'!N40</f>
        <v/>
      </c>
      <c r="C7" s="14">
        <f>ue_TTS_HT</f>
        <v/>
      </c>
      <c r="D7" s="14">
        <f>ue_TTS_PROD_MS</f>
        <v/>
      </c>
      <c r="E7" s="14">
        <f>ue_TTS_LOG_MS</f>
        <v/>
      </c>
      <c r="F7" s="14">
        <f>0</f>
        <v/>
      </c>
      <c r="G7" s="14">
        <f>0</f>
        <v/>
      </c>
      <c r="H7" s="14">
        <f>'Hypothèses'!N170*ue_TTS_TTC</f>
        <v/>
      </c>
      <c r="I7" s="14">
        <f>0</f>
        <v/>
      </c>
      <c r="J7" s="14">
        <f>h_PROV_RETOURS*C7</f>
        <v/>
      </c>
    </row>
    <row r="8">
      <c r="A8" t="inlineStr">
        <is>
          <t>TikTok Shop affiliés</t>
        </is>
      </c>
      <c r="B8" s="19">
        <f>'Scénarios 18 mois'!N41</f>
        <v/>
      </c>
      <c r="C8" s="14">
        <f>ue_TTS_HT</f>
        <v/>
      </c>
      <c r="D8" s="14">
        <f>ue_TTS_PROD_MS</f>
        <v/>
      </c>
      <c r="E8" s="14">
        <f>ue_TTS_LOG_MS</f>
        <v/>
      </c>
      <c r="F8" s="14">
        <f>0</f>
        <v/>
      </c>
      <c r="G8" s="14">
        <f>0</f>
        <v/>
      </c>
      <c r="H8" s="14">
        <f>'Hypothèses'!N170*ue_TTS_TTC</f>
        <v/>
      </c>
      <c r="I8" s="14">
        <f>h_CREA_COMM*ue_TTS_TTC</f>
        <v/>
      </c>
      <c r="J8" s="14">
        <f>h_PROV_RETOURS*C8</f>
        <v/>
      </c>
    </row>
    <row r="9">
      <c r="A9" t="inlineStr">
        <is>
          <t>Site, publicité</t>
        </is>
      </c>
      <c r="B9" s="19">
        <f>0</f>
        <v/>
      </c>
      <c r="C9" s="14">
        <f>ue_PUB_HT</f>
        <v/>
      </c>
      <c r="D9" s="14">
        <f>ue_PUB_PROD_MS</f>
        <v/>
      </c>
      <c r="E9" s="14">
        <f>ue_PUB_LOG_MS</f>
        <v/>
      </c>
      <c r="F9" s="14">
        <f>h_STRIPE_PCT*ue_PUB_TTC</f>
        <v/>
      </c>
      <c r="G9" s="14">
        <f>h_STRIPE_FIXE</f>
        <v/>
      </c>
      <c r="H9" s="14">
        <f>0</f>
        <v/>
      </c>
      <c r="I9" s="14">
        <f>0</f>
        <v/>
      </c>
      <c r="J9" s="14">
        <f>h_PROV_RETOURS*C9</f>
        <v/>
      </c>
    </row>
    <row r="10">
      <c r="A10" t="inlineStr">
        <is>
          <t>Frais fixes (€ / mois)</t>
        </is>
      </c>
      <c r="B10" s="24">
        <f>'Scénarios 18 mois'!N57</f>
        <v/>
      </c>
    </row>
    <row r="11">
      <c r="A11" t="inlineStr">
        <is>
          <t>Échantillons créateurs (€ / mois)</t>
        </is>
      </c>
      <c r="B11" s="24">
        <f>'Scénarios 18 mois'!N56</f>
        <v/>
      </c>
    </row>
    <row r="12">
      <c r="A12" t="inlineStr">
        <is>
          <t>CPA (€)</t>
        </is>
      </c>
      <c r="B12" s="24">
        <f>0</f>
        <v/>
      </c>
    </row>
    <row r="13">
      <c r="A13" t="inlineStr">
        <is>
          <t>Budget publicitaire (€ / mois)</t>
        </is>
      </c>
      <c r="B13" s="24">
        <f>B12*B9</f>
        <v/>
      </c>
    </row>
    <row r="15">
      <c r="A15" s="3" t="inlineStr">
        <is>
          <t>Variable</t>
        </is>
      </c>
      <c r="B15" s="3" t="inlineStr">
        <is>
          <t>Variation</t>
        </is>
      </c>
      <c r="C15" s="3" t="inlineStr">
        <is>
          <t>kVol</t>
        </is>
      </c>
      <c r="D15" s="3" t="inlineStr">
        <is>
          <t>kPrix</t>
        </is>
      </c>
      <c r="E15" s="3" t="inlineStr">
        <is>
          <t>kProd</t>
        </is>
      </c>
      <c r="F15" s="3" t="inlineStr">
        <is>
          <t>kLog</t>
        </is>
      </c>
      <c r="G15" s="3" t="inlineStr">
        <is>
          <t>kPay</t>
        </is>
      </c>
      <c r="H15" s="3" t="inlineStr">
        <is>
          <t>kTTS</t>
        </is>
      </c>
      <c r="I15" s="3" t="inlineStr">
        <is>
          <t>kCrea</t>
        </is>
      </c>
      <c r="J15" s="3" t="inlineStr">
        <is>
          <t>kRet</t>
        </is>
      </c>
      <c r="K15" s="3" t="inlineStr">
        <is>
          <t>kAff</t>
        </is>
      </c>
      <c r="L15" s="3" t="inlineStr">
        <is>
          <t>kFix</t>
        </is>
      </c>
      <c r="M15" s="3" t="inlineStr">
        <is>
          <t>kEch</t>
        </is>
      </c>
      <c r="N15" s="3" t="inlineStr">
        <is>
          <t>kCPA</t>
        </is>
      </c>
      <c r="O15" s="3" t="inlineStr">
        <is>
          <t>kPubVol</t>
        </is>
      </c>
      <c r="P15" s="3" t="inlineStr">
        <is>
          <t>Bénéfice mensuel</t>
        </is>
      </c>
      <c r="Q15" s="3" t="inlineStr">
        <is>
          <t>Écart vs base</t>
        </is>
      </c>
    </row>
    <row r="16">
      <c r="A16" s="22" t="inlineStr">
        <is>
          <t>Base</t>
        </is>
      </c>
      <c r="B16" t="inlineStr">
        <is>
          <t>—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s="25">
        <f>B6*C16*(D16*C6-E16*D6-F16*E6-G16*(F6*D16+G6)-H16*H6*D16-I16*I6*D16-J16*J6*D16)+(B7+B8*(1-K16))*C16*(D16*C7-E16*D7-F16*E7-G16*(F7*D16+G7)-H16*H7*D16-I16*I7*D16-J16*J7*D16)+B8*C16*K16*(D16*C8-E16*D8-F16*E8-G16*(F8*D16+G8)-H16*H8*D16-I16*I8*D16-J16*J8*D16)+IF($B$12&gt;0,$B$13*O16/($B$12*N16),0)*(D16*C9-E16*D9-F16*E9-G16*(F9*D16+G9)-H16*H9*D16-I16*I9*D16-J16*J9*D16)-$B$13*O16-L16*$B$10-M16*$B$11</f>
        <v/>
      </c>
    </row>
    <row r="17">
      <c r="A17" t="inlineStr">
        <is>
          <t>Volume de commandes organiques</t>
        </is>
      </c>
      <c r="B17" t="inlineStr">
        <is>
          <t>−20 %</t>
        </is>
      </c>
      <c r="C17" s="9" t="n">
        <v>0.8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s="24">
        <f>B6*C17*(D17*C6-E17*D6-F17*E6-G17*(F6*D17+G6)-H17*H6*D17-I17*I6*D17-J17*J6*D17)+(B7+B8*(1-K17))*C17*(D17*C7-E17*D7-F17*E7-G17*(F7*D17+G7)-H17*H7*D17-I17*I7*D17-J17*J7*D17)+B8*C17*K17*(D17*C8-E17*D8-F17*E8-G17*(F8*D17+G8)-H17*H8*D17-I17*I8*D17-J17*J8*D17)+IF($B$12&gt;0,$B$13*O17/($B$12*N17),0)*(D17*C9-E17*D9-F17*E9-G17*(F9*D17+G9)-H17*H9*D17-I17*I9*D17-J17*J9*D17)-$B$13*O17-L17*$B$10-M17*$B$11</f>
        <v/>
      </c>
      <c r="Q17" s="24">
        <f>P17-P$16</f>
        <v/>
      </c>
    </row>
    <row r="18">
      <c r="A18" t="inlineStr">
        <is>
          <t>Volume de commandes organiques</t>
        </is>
      </c>
      <c r="B18" t="inlineStr">
        <is>
          <t>+20 %</t>
        </is>
      </c>
      <c r="C18" s="9" t="n">
        <v>1.2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s="24">
        <f>B6*C18*(D18*C6-E18*D6-F18*E6-G18*(F6*D18+G6)-H18*H6*D18-I18*I6*D18-J18*J6*D18)+(B7+B8*(1-K18))*C18*(D18*C7-E18*D7-F18*E7-G18*(F7*D18+G7)-H18*H7*D18-I18*I7*D18-J18*J7*D18)+B8*C18*K18*(D18*C8-E18*D8-F18*E8-G18*(F8*D18+G8)-H18*H8*D18-I18*I8*D18-J18*J8*D18)+IF($B$12&gt;0,$B$13*O18/($B$12*N18),0)*(D18*C9-E18*D9-F18*E9-G18*(F9*D18+G9)-H18*H9*D18-I18*I9*D18-J18*J9*D18)-$B$13*O18-L18*$B$10-M18*$B$11</f>
        <v/>
      </c>
      <c r="Q18" s="24">
        <f>P18-P$16</f>
        <v/>
      </c>
    </row>
    <row r="19">
      <c r="A19" t="inlineStr">
        <is>
          <t>Prix de vente (tous produits)</t>
        </is>
      </c>
      <c r="B19" t="inlineStr">
        <is>
          <t>−20 %</t>
        </is>
      </c>
      <c r="C19" t="n">
        <v>1</v>
      </c>
      <c r="D19" s="9" t="n">
        <v>0.8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s="24">
        <f>B6*C19*(D19*C6-E19*D6-F19*E6-G19*(F6*D19+G6)-H19*H6*D19-I19*I6*D19-J19*J6*D19)+(B7+B8*(1-K19))*C19*(D19*C7-E19*D7-F19*E7-G19*(F7*D19+G7)-H19*H7*D19-I19*I7*D19-J19*J7*D19)+B8*C19*K19*(D19*C8-E19*D8-F19*E8-G19*(F8*D19+G8)-H19*H8*D19-I19*I8*D19-J19*J8*D19)+IF($B$12&gt;0,$B$13*O19/($B$12*N19),0)*(D19*C9-E19*D9-F19*E9-G19*(F9*D19+G9)-H19*H9*D19-I19*I9*D19-J19*J9*D19)-$B$13*O19-L19*$B$10-M19*$B$11</f>
        <v/>
      </c>
      <c r="Q19" s="24">
        <f>P19-P$16</f>
        <v/>
      </c>
    </row>
    <row r="20">
      <c r="A20" t="inlineStr">
        <is>
          <t>Prix de vente (tous produits)</t>
        </is>
      </c>
      <c r="B20" t="inlineStr">
        <is>
          <t>+20 %</t>
        </is>
      </c>
      <c r="C20" t="n">
        <v>1</v>
      </c>
      <c r="D20" s="9" t="n">
        <v>1.2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s="24">
        <f>B6*C20*(D20*C6-E20*D6-F20*E6-G20*(F6*D20+G6)-H20*H6*D20-I20*I6*D20-J20*J6*D20)+(B7+B8*(1-K20))*C20*(D20*C7-E20*D7-F20*E7-G20*(F7*D20+G7)-H20*H7*D20-I20*I7*D20-J20*J7*D20)+B8*C20*K20*(D20*C8-E20*D8-F20*E8-G20*(F8*D20+G8)-H20*H8*D20-I20*I8*D20-J20*J8*D20)+IF($B$12&gt;0,$B$13*O20/($B$12*N20),0)*(D20*C9-E20*D9-F20*E9-G20*(F9*D20+G9)-H20*H9*D20-I20*I9*D20-J20*J9*D20)-$B$13*O20-L20*$B$10-M20*$B$11</f>
        <v/>
      </c>
      <c r="Q20" s="24">
        <f>P20-P$16</f>
        <v/>
      </c>
    </row>
    <row r="21">
      <c r="A21" t="inlineStr">
        <is>
          <t>Coût produit et droits</t>
        </is>
      </c>
      <c r="B21" t="inlineStr">
        <is>
          <t>−20 %</t>
        </is>
      </c>
      <c r="C21" t="n">
        <v>1</v>
      </c>
      <c r="D21" t="n">
        <v>1</v>
      </c>
      <c r="E21" s="9" t="n">
        <v>0.8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s="24">
        <f>B6*C21*(D21*C6-E21*D6-F21*E6-G21*(F6*D21+G6)-H21*H6*D21-I21*I6*D21-J21*J6*D21)+(B7+B8*(1-K21))*C21*(D21*C7-E21*D7-F21*E7-G21*(F7*D21+G7)-H21*H7*D21-I21*I7*D21-J21*J7*D21)+B8*C21*K21*(D21*C8-E21*D8-F21*E8-G21*(F8*D21+G8)-H21*H8*D21-I21*I8*D21-J21*J8*D21)+IF($B$12&gt;0,$B$13*O21/($B$12*N21),0)*(D21*C9-E21*D9-F21*E9-G21*(F9*D21+G9)-H21*H9*D21-I21*I9*D21-J21*J9*D21)-$B$13*O21-L21*$B$10-M21*$B$11</f>
        <v/>
      </c>
      <c r="Q21" s="24">
        <f>P21-P$16</f>
        <v/>
      </c>
    </row>
    <row r="22">
      <c r="A22" t="inlineStr">
        <is>
          <t>Coût produit et droits</t>
        </is>
      </c>
      <c r="B22" t="inlineStr">
        <is>
          <t>+20 %</t>
        </is>
      </c>
      <c r="C22" t="n">
        <v>1</v>
      </c>
      <c r="D22" t="n">
        <v>1</v>
      </c>
      <c r="E22" s="9" t="n">
        <v>1.2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s="24">
        <f>B6*C22*(D22*C6-E22*D6-F22*E6-G22*(F6*D22+G6)-H22*H6*D22-I22*I6*D22-J22*J6*D22)+(B7+B8*(1-K22))*C22*(D22*C7-E22*D7-F22*E7-G22*(F7*D22+G7)-H22*H7*D22-I22*I7*D22-J22*J7*D22)+B8*C22*K22*(D22*C8-E22*D8-F22*E8-G22*(F8*D22+G8)-H22*H8*D22-I22*I8*D22-J22*J8*D22)+IF($B$12&gt;0,$B$13*O22/($B$12*N22),0)*(D22*C9-E22*D9-F22*E9-G22*(F9*D22+G9)-H22*H9*D22-I22*I9*D22-J22*J9*D22)-$B$13*O22-L22*$B$10-M22*$B$11</f>
        <v/>
      </c>
      <c r="Q22" s="24">
        <f>P22-P$16</f>
        <v/>
      </c>
    </row>
    <row r="23">
      <c r="A23" t="inlineStr">
        <is>
          <t>Livraison et emballage</t>
        </is>
      </c>
      <c r="B23" t="inlineStr">
        <is>
          <t>−20 %</t>
        </is>
      </c>
      <c r="C23" t="n">
        <v>1</v>
      </c>
      <c r="D23" t="n">
        <v>1</v>
      </c>
      <c r="E23" t="n">
        <v>1</v>
      </c>
      <c r="F23" s="9" t="n">
        <v>0.8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s="24">
        <f>B6*C23*(D23*C6-E23*D6-F23*E6-G23*(F6*D23+G6)-H23*H6*D23-I23*I6*D23-J23*J6*D23)+(B7+B8*(1-K23))*C23*(D23*C7-E23*D7-F23*E7-G23*(F7*D23+G7)-H23*H7*D23-I23*I7*D23-J23*J7*D23)+B8*C23*K23*(D23*C8-E23*D8-F23*E8-G23*(F8*D23+G8)-H23*H8*D23-I23*I8*D23-J23*J8*D23)+IF($B$12&gt;0,$B$13*O23/($B$12*N23),0)*(D23*C9-E23*D9-F23*E9-G23*(F9*D23+G9)-H23*H9*D23-I23*I9*D23-J23*J9*D23)-$B$13*O23-L23*$B$10-M23*$B$11</f>
        <v/>
      </c>
      <c r="Q23" s="24">
        <f>P23-P$16</f>
        <v/>
      </c>
    </row>
    <row r="24">
      <c r="A24" t="inlineStr">
        <is>
          <t>Livraison et emballage</t>
        </is>
      </c>
      <c r="B24" t="inlineStr">
        <is>
          <t>+20 %</t>
        </is>
      </c>
      <c r="C24" t="n">
        <v>1</v>
      </c>
      <c r="D24" t="n">
        <v>1</v>
      </c>
      <c r="E24" t="n">
        <v>1</v>
      </c>
      <c r="F24" s="9" t="n">
        <v>1.2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s="24">
        <f>B6*C24*(D24*C6-E24*D6-F24*E6-G24*(F6*D24+G6)-H24*H6*D24-I24*I6*D24-J24*J6*D24)+(B7+B8*(1-K24))*C24*(D24*C7-E24*D7-F24*E7-G24*(F7*D24+G7)-H24*H7*D24-I24*I7*D24-J24*J7*D24)+B8*C24*K24*(D24*C8-E24*D8-F24*E8-G24*(F8*D24+G8)-H24*H8*D24-I24*I8*D24-J24*J8*D24)+IF($B$12&gt;0,$B$13*O24/($B$12*N24),0)*(D24*C9-E24*D9-F24*E9-G24*(F9*D24+G9)-H24*H9*D24-I24*I9*D24-J24*J9*D24)-$B$13*O24-L24*$B$10-M24*$B$11</f>
        <v/>
      </c>
      <c r="Q24" s="24">
        <f>P24-P$16</f>
        <v/>
      </c>
    </row>
    <row r="25">
      <c r="A25" t="inlineStr">
        <is>
          <t>Frais de paiement</t>
        </is>
      </c>
      <c r="B25" t="inlineStr">
        <is>
          <t>−20 %</t>
        </is>
      </c>
      <c r="C25" t="n">
        <v>1</v>
      </c>
      <c r="D25" t="n">
        <v>1</v>
      </c>
      <c r="E25" t="n">
        <v>1</v>
      </c>
      <c r="F25" t="n">
        <v>1</v>
      </c>
      <c r="G25" s="9" t="n">
        <v>0.8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s="24">
        <f>B6*C25*(D25*C6-E25*D6-F25*E6-G25*(F6*D25+G6)-H25*H6*D25-I25*I6*D25-J25*J6*D25)+(B7+B8*(1-K25))*C25*(D25*C7-E25*D7-F25*E7-G25*(F7*D25+G7)-H25*H7*D25-I25*I7*D25-J25*J7*D25)+B8*C25*K25*(D25*C8-E25*D8-F25*E8-G25*(F8*D25+G8)-H25*H8*D25-I25*I8*D25-J25*J8*D25)+IF($B$12&gt;0,$B$13*O25/($B$12*N25),0)*(D25*C9-E25*D9-F25*E9-G25*(F9*D25+G9)-H25*H9*D25-I25*I9*D25-J25*J9*D25)-$B$13*O25-L25*$B$10-M25*$B$11</f>
        <v/>
      </c>
      <c r="Q25" s="24">
        <f>P25-P$16</f>
        <v/>
      </c>
    </row>
    <row r="26">
      <c r="A26" t="inlineStr">
        <is>
          <t>Frais de paiement</t>
        </is>
      </c>
      <c r="B26" t="inlineStr">
        <is>
          <t>+20 %</t>
        </is>
      </c>
      <c r="C26" t="n">
        <v>1</v>
      </c>
      <c r="D26" t="n">
        <v>1</v>
      </c>
      <c r="E26" t="n">
        <v>1</v>
      </c>
      <c r="F26" t="n">
        <v>1</v>
      </c>
      <c r="G26" s="9" t="n">
        <v>1.2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s="24">
        <f>B6*C26*(D26*C6-E26*D6-F26*E6-G26*(F6*D26+G6)-H26*H6*D26-I26*I6*D26-J26*J6*D26)+(B7+B8*(1-K26))*C26*(D26*C7-E26*D7-F26*E7-G26*(F7*D26+G7)-H26*H7*D26-I26*I7*D26-J26*J7*D26)+B8*C26*K26*(D26*C8-E26*D8-F26*E8-G26*(F8*D26+G8)-H26*H8*D26-I26*I8*D26-J26*J8*D26)+IF($B$12&gt;0,$B$13*O26/($B$12*N26),0)*(D26*C9-E26*D9-F26*E9-G26*(F9*D26+G9)-H26*H9*D26-I26*I9*D26-J26*J9*D26)-$B$13*O26-L26*$B$10-M26*$B$11</f>
        <v/>
      </c>
      <c r="Q26" s="24">
        <f>P26-P$16</f>
        <v/>
      </c>
    </row>
    <row r="27">
      <c r="A27" t="inlineStr">
        <is>
          <t>Commission TikTok Shop</t>
        </is>
      </c>
      <c r="B27" t="inlineStr">
        <is>
          <t>−20 %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s="9" t="n">
        <v>0.8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s="24">
        <f>B6*C27*(D27*C6-E27*D6-F27*E6-G27*(F6*D27+G6)-H27*H6*D27-I27*I6*D27-J27*J6*D27)+(B7+B8*(1-K27))*C27*(D27*C7-E27*D7-F27*E7-G27*(F7*D27+G7)-H27*H7*D27-I27*I7*D27-J27*J7*D27)+B8*C27*K27*(D27*C8-E27*D8-F27*E8-G27*(F8*D27+G8)-H27*H8*D27-I27*I8*D27-J27*J8*D27)+IF($B$12&gt;0,$B$13*O27/($B$12*N27),0)*(D27*C9-E27*D9-F27*E9-G27*(F9*D27+G9)-H27*H9*D27-I27*I9*D27-J27*J9*D27)-$B$13*O27-L27*$B$10-M27*$B$11</f>
        <v/>
      </c>
      <c r="Q27" s="24">
        <f>P27-P$16</f>
        <v/>
      </c>
    </row>
    <row r="28">
      <c r="A28" t="inlineStr">
        <is>
          <t>Commission TikTok Shop</t>
        </is>
      </c>
      <c r="B28" t="inlineStr">
        <is>
          <t>+20 %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s="9" t="n">
        <v>1.2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s="24">
        <f>B6*C28*(D28*C6-E28*D6-F28*E6-G28*(F6*D28+G6)-H28*H6*D28-I28*I6*D28-J28*J6*D28)+(B7+B8*(1-K28))*C28*(D28*C7-E28*D7-F28*E7-G28*(F7*D28+G7)-H28*H7*D28-I28*I7*D28-J28*J7*D28)+B8*C28*K28*(D28*C8-E28*D8-F28*E8-G28*(F8*D28+G8)-H28*H8*D28-I28*I8*D28-J28*J8*D28)+IF($B$12&gt;0,$B$13*O28/($B$12*N28),0)*(D28*C9-E28*D9-F28*E9-G28*(F9*D28+G9)-H28*H9*D28-I28*I9*D28-J28*J9*D28)-$B$13*O28-L28*$B$10-M28*$B$11</f>
        <v/>
      </c>
      <c r="Q28" s="24">
        <f>P28-P$16</f>
        <v/>
      </c>
    </row>
    <row r="29">
      <c r="A29" t="inlineStr">
        <is>
          <t>Commission des créateurs</t>
        </is>
      </c>
      <c r="B29" t="inlineStr">
        <is>
          <t>−20 %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s="9" t="n">
        <v>0.8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s="24">
        <f>B6*C29*(D29*C6-E29*D6-F29*E6-G29*(F6*D29+G6)-H29*H6*D29-I29*I6*D29-J29*J6*D29)+(B7+B8*(1-K29))*C29*(D29*C7-E29*D7-F29*E7-G29*(F7*D29+G7)-H29*H7*D29-I29*I7*D29-J29*J7*D29)+B8*C29*K29*(D29*C8-E29*D8-F29*E8-G29*(F8*D29+G8)-H29*H8*D29-I29*I8*D29-J29*J8*D29)+IF($B$12&gt;0,$B$13*O29/($B$12*N29),0)*(D29*C9-E29*D9-F29*E9-G29*(F9*D29+G9)-H29*H9*D29-I29*I9*D29-J29*J9*D29)-$B$13*O29-L29*$B$10-M29*$B$11</f>
        <v/>
      </c>
      <c r="Q29" s="24">
        <f>P29-P$16</f>
        <v/>
      </c>
    </row>
    <row r="30">
      <c r="A30" t="inlineStr">
        <is>
          <t>Commission des créateurs</t>
        </is>
      </c>
      <c r="B30" t="inlineStr">
        <is>
          <t>+20 %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s="9" t="n">
        <v>1.2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s="24">
        <f>B6*C30*(D30*C6-E30*D6-F30*E6-G30*(F6*D30+G6)-H30*H6*D30-I30*I6*D30-J30*J6*D30)+(B7+B8*(1-K30))*C30*(D30*C7-E30*D7-F30*E7-G30*(F7*D30+G7)-H30*H7*D30-I30*I7*D30-J30*J7*D30)+B8*C30*K30*(D30*C8-E30*D8-F30*E8-G30*(F8*D30+G8)-H30*H8*D30-I30*I8*D30-J30*J8*D30)+IF($B$12&gt;0,$B$13*O30/($B$12*N30),0)*(D30*C9-E30*D9-F30*E9-G30*(F9*D30+G9)-H30*H9*D30-I30*I9*D30-J30*J9*D30)-$B$13*O30-L30*$B$10-M30*$B$11</f>
        <v/>
      </c>
      <c r="Q30" s="24">
        <f>P30-P$16</f>
        <v/>
      </c>
    </row>
    <row r="31">
      <c r="A31" t="inlineStr">
        <is>
          <t>Retours, SAV et litiges</t>
        </is>
      </c>
      <c r="B31" t="inlineStr">
        <is>
          <t>−20 %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s="9" t="n">
        <v>0.8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s="24">
        <f>B6*C31*(D31*C6-E31*D6-F31*E6-G31*(F6*D31+G6)-H31*H6*D31-I31*I6*D31-J31*J6*D31)+(B7+B8*(1-K31))*C31*(D31*C7-E31*D7-F31*E7-G31*(F7*D31+G7)-H31*H7*D31-I31*I7*D31-J31*J7*D31)+B8*C31*K31*(D31*C8-E31*D8-F31*E8-G31*(F8*D31+G8)-H31*H8*D31-I31*I8*D31-J31*J8*D31)+IF($B$12&gt;0,$B$13*O31/($B$12*N31),0)*(D31*C9-E31*D9-F31*E9-G31*(F9*D31+G9)-H31*H9*D31-I31*I9*D31-J31*J9*D31)-$B$13*O31-L31*$B$10-M31*$B$11</f>
        <v/>
      </c>
      <c r="Q31" s="24">
        <f>P31-P$16</f>
        <v/>
      </c>
    </row>
    <row r="32">
      <c r="A32" t="inlineStr">
        <is>
          <t>Retours, SAV et litiges</t>
        </is>
      </c>
      <c r="B32" t="inlineStr">
        <is>
          <t>+20 %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s="9" t="n">
        <v>1.2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s="24">
        <f>B6*C32*(D32*C6-E32*D6-F32*E6-G32*(F6*D32+G6)-H32*H6*D32-I32*I6*D32-J32*J6*D32)+(B7+B8*(1-K32))*C32*(D32*C7-E32*D7-F32*E7-G32*(F7*D32+G7)-H32*H7*D32-I32*I7*D32-J32*J7*D32)+B8*C32*K32*(D32*C8-E32*D8-F32*E8-G32*(F8*D32+G8)-H32*H8*D32-I32*I8*D32-J32*J8*D32)+IF($B$12&gt;0,$B$13*O32/($B$12*N32),0)*(D32*C9-E32*D9-F32*E9-G32*(F9*D32+G9)-H32*H9*D32-I32*I9*D32-J32*J9*D32)-$B$13*O32-L32*$B$10-M32*$B$11</f>
        <v/>
      </c>
      <c r="Q32" s="24">
        <f>P32-P$16</f>
        <v/>
      </c>
    </row>
    <row r="33">
      <c r="A33" t="inlineStr">
        <is>
          <t>Part des ventes par affiliés</t>
        </is>
      </c>
      <c r="B33" t="inlineStr">
        <is>
          <t>−20 %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s="9" t="n">
        <v>0.8</v>
      </c>
      <c r="L33" t="n">
        <v>1</v>
      </c>
      <c r="M33" t="n">
        <v>1</v>
      </c>
      <c r="N33" t="n">
        <v>1</v>
      </c>
      <c r="O33" t="n">
        <v>1</v>
      </c>
      <c r="P33" s="24">
        <f>B6*C33*(D33*C6-E33*D6-F33*E6-G33*(F6*D33+G6)-H33*H6*D33-I33*I6*D33-J33*J6*D33)+(B7+B8*(1-K33))*C33*(D33*C7-E33*D7-F33*E7-G33*(F7*D33+G7)-H33*H7*D33-I33*I7*D33-J33*J7*D33)+B8*C33*K33*(D33*C8-E33*D8-F33*E8-G33*(F8*D33+G8)-H33*H8*D33-I33*I8*D33-J33*J8*D33)+IF($B$12&gt;0,$B$13*O33/($B$12*N33),0)*(D33*C9-E33*D9-F33*E9-G33*(F9*D33+G9)-H33*H9*D33-I33*I9*D33-J33*J9*D33)-$B$13*O33-L33*$B$10-M33*$B$11</f>
        <v/>
      </c>
      <c r="Q33" s="24">
        <f>P33-P$16</f>
        <v/>
      </c>
    </row>
    <row r="34">
      <c r="A34" t="inlineStr">
        <is>
          <t>Part des ventes par affiliés</t>
        </is>
      </c>
      <c r="B34" t="inlineStr">
        <is>
          <t>+20 %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s="9" t="n">
        <v>1.2</v>
      </c>
      <c r="L34" t="n">
        <v>1</v>
      </c>
      <c r="M34" t="n">
        <v>1</v>
      </c>
      <c r="N34" t="n">
        <v>1</v>
      </c>
      <c r="O34" t="n">
        <v>1</v>
      </c>
      <c r="P34" s="24">
        <f>B6*C34*(D34*C6-E34*D6-F34*E6-G34*(F6*D34+G6)-H34*H6*D34-I34*I6*D34-J34*J6*D34)+(B7+B8*(1-K34))*C34*(D34*C7-E34*D7-F34*E7-G34*(F7*D34+G7)-H34*H7*D34-I34*I7*D34-J34*J7*D34)+B8*C34*K34*(D34*C8-E34*D8-F34*E8-G34*(F8*D34+G8)-H34*H8*D34-I34*I8*D34-J34*J8*D34)+IF($B$12&gt;0,$B$13*O34/($B$12*N34),0)*(D34*C9-E34*D9-F34*E9-G34*(F9*D34+G9)-H34*H9*D34-I34*I9*D34-J34*J9*D34)-$B$13*O34-L34*$B$10-M34*$B$11</f>
        <v/>
      </c>
      <c r="Q34" s="24">
        <f>P34-P$16</f>
        <v/>
      </c>
    </row>
    <row r="35">
      <c r="A35" t="inlineStr">
        <is>
          <t>Frais fixes</t>
        </is>
      </c>
      <c r="B35" t="inlineStr">
        <is>
          <t>−20 %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s="9" t="n">
        <v>0.8</v>
      </c>
      <c r="M35" t="n">
        <v>1</v>
      </c>
      <c r="N35" t="n">
        <v>1</v>
      </c>
      <c r="O35" t="n">
        <v>1</v>
      </c>
      <c r="P35" s="24">
        <f>B6*C35*(D35*C6-E35*D6-F35*E6-G35*(F6*D35+G6)-H35*H6*D35-I35*I6*D35-J35*J6*D35)+(B7+B8*(1-K35))*C35*(D35*C7-E35*D7-F35*E7-G35*(F7*D35+G7)-H35*H7*D35-I35*I7*D35-J35*J7*D35)+B8*C35*K35*(D35*C8-E35*D8-F35*E8-G35*(F8*D35+G8)-H35*H8*D35-I35*I8*D35-J35*J8*D35)+IF($B$12&gt;0,$B$13*O35/($B$12*N35),0)*(D35*C9-E35*D9-F35*E9-G35*(F9*D35+G9)-H35*H9*D35-I35*I9*D35-J35*J9*D35)-$B$13*O35-L35*$B$10-M35*$B$11</f>
        <v/>
      </c>
      <c r="Q35" s="24">
        <f>P35-P$16</f>
        <v/>
      </c>
    </row>
    <row r="36">
      <c r="A36" t="inlineStr">
        <is>
          <t>Frais fixes</t>
        </is>
      </c>
      <c r="B36" t="inlineStr">
        <is>
          <t>+20 %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s="9" t="n">
        <v>1.2</v>
      </c>
      <c r="M36" t="n">
        <v>1</v>
      </c>
      <c r="N36" t="n">
        <v>1</v>
      </c>
      <c r="O36" t="n">
        <v>1</v>
      </c>
      <c r="P36" s="24">
        <f>B6*C36*(D36*C6-E36*D6-F36*E6-G36*(F6*D36+G6)-H36*H6*D36-I36*I6*D36-J36*J6*D36)+(B7+B8*(1-K36))*C36*(D36*C7-E36*D7-F36*E7-G36*(F7*D36+G7)-H36*H7*D36-I36*I7*D36-J36*J7*D36)+B8*C36*K36*(D36*C8-E36*D8-F36*E8-G36*(F8*D36+G8)-H36*H8*D36-I36*I8*D36-J36*J8*D36)+IF($B$12&gt;0,$B$13*O36/($B$12*N36),0)*(D36*C9-E36*D9-F36*E9-G36*(F9*D36+G9)-H36*H9*D36-I36*I9*D36-J36*J9*D36)-$B$13*O36-L36*$B$10-M36*$B$11</f>
        <v/>
      </c>
      <c r="Q36" s="24">
        <f>P36-P$16</f>
        <v/>
      </c>
    </row>
    <row r="37">
      <c r="A37" t="inlineStr">
        <is>
          <t>Échantillons créateurs</t>
        </is>
      </c>
      <c r="B37" t="inlineStr">
        <is>
          <t>−20 %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s="9" t="n">
        <v>0.8</v>
      </c>
      <c r="N37" t="n">
        <v>1</v>
      </c>
      <c r="O37" t="n">
        <v>1</v>
      </c>
      <c r="P37" s="24">
        <f>B6*C37*(D37*C6-E37*D6-F37*E6-G37*(F6*D37+G6)-H37*H6*D37-I37*I6*D37-J37*J6*D37)+(B7+B8*(1-K37))*C37*(D37*C7-E37*D7-F37*E7-G37*(F7*D37+G7)-H37*H7*D37-I37*I7*D37-J37*J7*D37)+B8*C37*K37*(D37*C8-E37*D8-F37*E8-G37*(F8*D37+G8)-H37*H8*D37-I37*I8*D37-J37*J8*D37)+IF($B$12&gt;0,$B$13*O37/($B$12*N37),0)*(D37*C9-E37*D9-F37*E9-G37*(F9*D37+G9)-H37*H9*D37-I37*I9*D37-J37*J9*D37)-$B$13*O37-L37*$B$10-M37*$B$11</f>
        <v/>
      </c>
      <c r="Q37" s="24">
        <f>P37-P$16</f>
        <v/>
      </c>
    </row>
    <row r="38">
      <c r="A38" t="inlineStr">
        <is>
          <t>Échantillons créateurs</t>
        </is>
      </c>
      <c r="B38" t="inlineStr">
        <is>
          <t>+20 %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s="9" t="n">
        <v>1.2</v>
      </c>
      <c r="N38" t="n">
        <v>1</v>
      </c>
      <c r="O38" t="n">
        <v>1</v>
      </c>
      <c r="P38" s="24">
        <f>B6*C38*(D38*C6-E38*D6-F38*E6-G38*(F6*D38+G6)-H38*H6*D38-I38*I6*D38-J38*J6*D38)+(B7+B8*(1-K38))*C38*(D38*C7-E38*D7-F38*E7-G38*(F7*D38+G7)-H38*H7*D38-I38*I7*D38-J38*J7*D38)+B8*C38*K38*(D38*C8-E38*D8-F38*E8-G38*(F8*D38+G8)-H38*H8*D38-I38*I8*D38-J38*J8*D38)+IF($B$12&gt;0,$B$13*O38/($B$12*N38),0)*(D38*C9-E38*D9-F38*E9-G38*(F9*D38+G9)-H38*H9*D38-I38*I9*D38-J38*J9*D38)-$B$13*O38-L38*$B$10-M38*$B$11</f>
        <v/>
      </c>
      <c r="Q38" s="24">
        <f>P38-P$16</f>
        <v/>
      </c>
    </row>
    <row r="41">
      <c r="A41" s="4" t="inlineStr">
        <is>
          <t>Palier 2 — 10 000 € de bénéfice (import groupé, 3PL, publicité)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3" t="inlineStr">
        <is>
          <t>Canal</t>
        </is>
      </c>
      <c r="B42" s="3" t="inlineStr">
        <is>
          <t>Commandes</t>
        </is>
      </c>
      <c r="C42" s="3" t="inlineStr">
        <is>
          <t>CA HT</t>
        </is>
      </c>
      <c r="D42" s="3" t="inlineStr">
        <is>
          <t>Produit</t>
        </is>
      </c>
      <c r="E42" s="3" t="inlineStr">
        <is>
          <t>Livraison</t>
        </is>
      </c>
      <c r="F42" s="3" t="inlineStr">
        <is>
          <t>Paiement %</t>
        </is>
      </c>
      <c r="G42" s="3" t="inlineStr">
        <is>
          <t>Paiement fixe</t>
        </is>
      </c>
      <c r="H42" s="3" t="inlineStr">
        <is>
          <t>Comm. TikTok</t>
        </is>
      </c>
      <c r="I42" s="3" t="inlineStr">
        <is>
          <t>Comm. créateur</t>
        </is>
      </c>
      <c r="J42" s="3" t="inlineStr">
        <is>
          <t>Provision</t>
        </is>
      </c>
    </row>
    <row r="43">
      <c r="A43" t="inlineStr">
        <is>
          <t>Site organique</t>
        </is>
      </c>
      <c r="B43" s="19">
        <f>'Paliers'!C9*(1-h_P2_PART_PUB)*h_MIX_SITE</f>
        <v/>
      </c>
      <c r="C43" s="14">
        <f>ue_SITE_HT</f>
        <v/>
      </c>
      <c r="D43" s="14">
        <f>ue_SITE_PROD_IMP</f>
        <v/>
      </c>
      <c r="E43" s="14">
        <f>ue_SITE_LOG_IMP</f>
        <v/>
      </c>
      <c r="F43" s="14">
        <f>h_STRIPE_PCT*ue_SITE_TTC</f>
        <v/>
      </c>
      <c r="G43" s="14">
        <f>h_STRIPE_FIXE</f>
        <v/>
      </c>
      <c r="H43" s="14">
        <f>0</f>
        <v/>
      </c>
      <c r="I43" s="14">
        <f>0</f>
        <v/>
      </c>
      <c r="J43" s="14">
        <f>h_PROV_RETOURS*C43</f>
        <v/>
      </c>
    </row>
    <row r="44">
      <c r="A44" t="inlineStr">
        <is>
          <t>TikTok Shop contenu propre</t>
        </is>
      </c>
      <c r="B44" s="19">
        <f>'Paliers'!C9*(1-h_P2_PART_PUB)*h_MIX_PROPRE</f>
        <v/>
      </c>
      <c r="C44" s="14">
        <f>ue_TTS_HT</f>
        <v/>
      </c>
      <c r="D44" s="14">
        <f>ue_TTS_PROD_IMP</f>
        <v/>
      </c>
      <c r="E44" s="14">
        <f>ue_TTS_LOG_IMP</f>
        <v/>
      </c>
      <c r="F44" s="14">
        <f>0</f>
        <v/>
      </c>
      <c r="G44" s="14">
        <f>0</f>
        <v/>
      </c>
      <c r="H44" s="14">
        <f>h_TTS_COMM*ue_TTS_TTC</f>
        <v/>
      </c>
      <c r="I44" s="14">
        <f>0</f>
        <v/>
      </c>
      <c r="J44" s="14">
        <f>h_PROV_RETOURS*C44</f>
        <v/>
      </c>
    </row>
    <row r="45">
      <c r="A45" t="inlineStr">
        <is>
          <t>TikTok Shop affiliés</t>
        </is>
      </c>
      <c r="B45" s="19">
        <f>'Paliers'!C9*(1-h_P2_PART_PUB)*h_MIX_AFF</f>
        <v/>
      </c>
      <c r="C45" s="14">
        <f>ue_TTS_HT</f>
        <v/>
      </c>
      <c r="D45" s="14">
        <f>ue_TTS_PROD_IMP</f>
        <v/>
      </c>
      <c r="E45" s="14">
        <f>ue_TTS_LOG_IMP</f>
        <v/>
      </c>
      <c r="F45" s="14">
        <f>0</f>
        <v/>
      </c>
      <c r="G45" s="14">
        <f>0</f>
        <v/>
      </c>
      <c r="H45" s="14">
        <f>h_TTS_COMM*ue_TTS_TTC</f>
        <v/>
      </c>
      <c r="I45" s="14">
        <f>h_CREA_COMM*ue_TTS_TTC</f>
        <v/>
      </c>
      <c r="J45" s="14">
        <f>h_PROV_RETOURS*C45</f>
        <v/>
      </c>
    </row>
    <row r="46">
      <c r="A46" t="inlineStr">
        <is>
          <t>Site, publicité</t>
        </is>
      </c>
      <c r="B46" s="19">
        <f>'Paliers'!C9*h_P2_PART_PUB</f>
        <v/>
      </c>
      <c r="C46" s="14">
        <f>ue_PUB_HT</f>
        <v/>
      </c>
      <c r="D46" s="14">
        <f>ue_PUB_PROD_IMP</f>
        <v/>
      </c>
      <c r="E46" s="14">
        <f>ue_PUB_LOG_IMP</f>
        <v/>
      </c>
      <c r="F46" s="14">
        <f>h_STRIPE_PCT*ue_PUB_TTC</f>
        <v/>
      </c>
      <c r="G46" s="14">
        <f>h_STRIPE_FIXE</f>
        <v/>
      </c>
      <c r="H46" s="14">
        <f>0</f>
        <v/>
      </c>
      <c r="I46" s="14">
        <f>0</f>
        <v/>
      </c>
      <c r="J46" s="14">
        <f>h_PROV_RETOURS*C46</f>
        <v/>
      </c>
    </row>
    <row r="47">
      <c r="A47" t="inlineStr">
        <is>
          <t>Frais fixes (€ / mois)</t>
        </is>
      </c>
      <c r="B47" s="24">
        <f>h_P2_FIXES_AUTRES+h_P2_PERSONNEL</f>
        <v/>
      </c>
    </row>
    <row r="48">
      <c r="A48" t="inlineStr">
        <is>
          <t>Échantillons créateurs (€ / mois)</t>
        </is>
      </c>
      <c r="B48" s="24">
        <f>h_P2_ECH</f>
        <v/>
      </c>
    </row>
    <row r="49">
      <c r="A49" t="inlineStr">
        <is>
          <t>CPA (€)</t>
        </is>
      </c>
      <c r="B49" s="24">
        <f>'Paliers'!C8</f>
        <v/>
      </c>
    </row>
    <row r="50">
      <c r="A50" t="inlineStr">
        <is>
          <t>Budget publicitaire (€ / mois)</t>
        </is>
      </c>
      <c r="B50" s="24">
        <f>B49*B46</f>
        <v/>
      </c>
    </row>
    <row r="52">
      <c r="A52" s="3" t="inlineStr">
        <is>
          <t>Variable</t>
        </is>
      </c>
      <c r="B52" s="3" t="inlineStr">
        <is>
          <t>Variation</t>
        </is>
      </c>
      <c r="C52" s="3" t="inlineStr">
        <is>
          <t>kVol</t>
        </is>
      </c>
      <c r="D52" s="3" t="inlineStr">
        <is>
          <t>kPrix</t>
        </is>
      </c>
      <c r="E52" s="3" t="inlineStr">
        <is>
          <t>kProd</t>
        </is>
      </c>
      <c r="F52" s="3" t="inlineStr">
        <is>
          <t>kLog</t>
        </is>
      </c>
      <c r="G52" s="3" t="inlineStr">
        <is>
          <t>kPay</t>
        </is>
      </c>
      <c r="H52" s="3" t="inlineStr">
        <is>
          <t>kTTS</t>
        </is>
      </c>
      <c r="I52" s="3" t="inlineStr">
        <is>
          <t>kCrea</t>
        </is>
      </c>
      <c r="J52" s="3" t="inlineStr">
        <is>
          <t>kRet</t>
        </is>
      </c>
      <c r="K52" s="3" t="inlineStr">
        <is>
          <t>kAff</t>
        </is>
      </c>
      <c r="L52" s="3" t="inlineStr">
        <is>
          <t>kFix</t>
        </is>
      </c>
      <c r="M52" s="3" t="inlineStr">
        <is>
          <t>kEch</t>
        </is>
      </c>
      <c r="N52" s="3" t="inlineStr">
        <is>
          <t>kCPA</t>
        </is>
      </c>
      <c r="O52" s="3" t="inlineStr">
        <is>
          <t>kPubVol</t>
        </is>
      </c>
      <c r="P52" s="3" t="inlineStr">
        <is>
          <t>Bénéfice mensuel</t>
        </is>
      </c>
      <c r="Q52" s="3" t="inlineStr">
        <is>
          <t>Écart vs base</t>
        </is>
      </c>
    </row>
    <row r="53">
      <c r="A53" s="22" t="inlineStr">
        <is>
          <t>Base</t>
        </is>
      </c>
      <c r="B53" t="inlineStr">
        <is>
          <t>—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s="25">
        <f>B43*C53*(D53*C43-E53*D43-F53*E43-G53*(F43*D53+G43)-H53*H43*D53-I53*I43*D53-J53*J43*D53)+(B44+B45*(1-K53))*C53*(D53*C44-E53*D44-F53*E44-G53*(F44*D53+G44)-H53*H44*D53-I53*I44*D53-J53*J44*D53)+B45*C53*K53*(D53*C45-E53*D45-F53*E45-G53*(F45*D53+G45)-H53*H45*D53-I53*I45*D53-J53*J45*D53)+IF($B$49&gt;0,$B$50*O53/($B$49*N53),0)*(D53*C46-E53*D46-F53*E46-G53*(F46*D53+G46)-H53*H46*D53-I53*I46*D53-J53*J46*D53)-$B$50*O53-L53*$B$47-M53*$B$48</f>
        <v/>
      </c>
    </row>
    <row r="54">
      <c r="A54" t="inlineStr">
        <is>
          <t>Volume de commandes organiques</t>
        </is>
      </c>
      <c r="B54" t="inlineStr">
        <is>
          <t>−20 %</t>
        </is>
      </c>
      <c r="C54" s="9" t="n">
        <v>0.8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s="24">
        <f>B43*C54*(D54*C43-E54*D43-F54*E43-G54*(F43*D54+G43)-H54*H43*D54-I54*I43*D54-J54*J43*D54)+(B44+B45*(1-K54))*C54*(D54*C44-E54*D44-F54*E44-G54*(F44*D54+G44)-H54*H44*D54-I54*I44*D54-J54*J44*D54)+B45*C54*K54*(D54*C45-E54*D45-F54*E45-G54*(F45*D54+G45)-H54*H45*D54-I54*I45*D54-J54*J45*D54)+IF($B$49&gt;0,$B$50*O54/($B$49*N54),0)*(D54*C46-E54*D46-F54*E46-G54*(F46*D54+G46)-H54*H46*D54-I54*I46*D54-J54*J46*D54)-$B$50*O54-L54*$B$47-M54*$B$48</f>
        <v/>
      </c>
      <c r="Q54" s="24">
        <f>P54-P$53</f>
        <v/>
      </c>
    </row>
    <row r="55">
      <c r="A55" t="inlineStr">
        <is>
          <t>Volume de commandes organiques</t>
        </is>
      </c>
      <c r="B55" t="inlineStr">
        <is>
          <t>+20 %</t>
        </is>
      </c>
      <c r="C55" s="9" t="n">
        <v>1.2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s="24">
        <f>B43*C55*(D55*C43-E55*D43-F55*E43-G55*(F43*D55+G43)-H55*H43*D55-I55*I43*D55-J55*J43*D55)+(B44+B45*(1-K55))*C55*(D55*C44-E55*D44-F55*E44-G55*(F44*D55+G44)-H55*H44*D55-I55*I44*D55-J55*J44*D55)+B45*C55*K55*(D55*C45-E55*D45-F55*E45-G55*(F45*D55+G45)-H55*H45*D55-I55*I45*D55-J55*J45*D55)+IF($B$49&gt;0,$B$50*O55/($B$49*N55),0)*(D55*C46-E55*D46-F55*E46-G55*(F46*D55+G46)-H55*H46*D55-I55*I46*D55-J55*J46*D55)-$B$50*O55-L55*$B$47-M55*$B$48</f>
        <v/>
      </c>
      <c r="Q55" s="24">
        <f>P55-P$53</f>
        <v/>
      </c>
    </row>
    <row r="56">
      <c r="A56" t="inlineStr">
        <is>
          <t>Prix de vente (tous produits)</t>
        </is>
      </c>
      <c r="B56" t="inlineStr">
        <is>
          <t>−20 %</t>
        </is>
      </c>
      <c r="C56" t="n">
        <v>1</v>
      </c>
      <c r="D56" s="9" t="n">
        <v>0.8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s="24">
        <f>B43*C56*(D56*C43-E56*D43-F56*E43-G56*(F43*D56+G43)-H56*H43*D56-I56*I43*D56-J56*J43*D56)+(B44+B45*(1-K56))*C56*(D56*C44-E56*D44-F56*E44-G56*(F44*D56+G44)-H56*H44*D56-I56*I44*D56-J56*J44*D56)+B45*C56*K56*(D56*C45-E56*D45-F56*E45-G56*(F45*D56+G45)-H56*H45*D56-I56*I45*D56-J56*J45*D56)+IF($B$49&gt;0,$B$50*O56/($B$49*N56),0)*(D56*C46-E56*D46-F56*E46-G56*(F46*D56+G46)-H56*H46*D56-I56*I46*D56-J56*J46*D56)-$B$50*O56-L56*$B$47-M56*$B$48</f>
        <v/>
      </c>
      <c r="Q56" s="24">
        <f>P56-P$53</f>
        <v/>
      </c>
    </row>
    <row r="57">
      <c r="A57" t="inlineStr">
        <is>
          <t>Prix de vente (tous produits)</t>
        </is>
      </c>
      <c r="B57" t="inlineStr">
        <is>
          <t>+20 %</t>
        </is>
      </c>
      <c r="C57" t="n">
        <v>1</v>
      </c>
      <c r="D57" s="9" t="n">
        <v>1.2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s="24">
        <f>B43*C57*(D57*C43-E57*D43-F57*E43-G57*(F43*D57+G43)-H57*H43*D57-I57*I43*D57-J57*J43*D57)+(B44+B45*(1-K57))*C57*(D57*C44-E57*D44-F57*E44-G57*(F44*D57+G44)-H57*H44*D57-I57*I44*D57-J57*J44*D57)+B45*C57*K57*(D57*C45-E57*D45-F57*E45-G57*(F45*D57+G45)-H57*H45*D57-I57*I45*D57-J57*J45*D57)+IF($B$49&gt;0,$B$50*O57/($B$49*N57),0)*(D57*C46-E57*D46-F57*E46-G57*(F46*D57+G46)-H57*H46*D57-I57*I46*D57-J57*J46*D57)-$B$50*O57-L57*$B$47-M57*$B$48</f>
        <v/>
      </c>
      <c r="Q57" s="24">
        <f>P57-P$53</f>
        <v/>
      </c>
    </row>
    <row r="58">
      <c r="A58" t="inlineStr">
        <is>
          <t>Coût produit et droits</t>
        </is>
      </c>
      <c r="B58" t="inlineStr">
        <is>
          <t>−20 %</t>
        </is>
      </c>
      <c r="C58" t="n">
        <v>1</v>
      </c>
      <c r="D58" t="n">
        <v>1</v>
      </c>
      <c r="E58" s="9" t="n">
        <v>0.8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s="24">
        <f>B43*C58*(D58*C43-E58*D43-F58*E43-G58*(F43*D58+G43)-H58*H43*D58-I58*I43*D58-J58*J43*D58)+(B44+B45*(1-K58))*C58*(D58*C44-E58*D44-F58*E44-G58*(F44*D58+G44)-H58*H44*D58-I58*I44*D58-J58*J44*D58)+B45*C58*K58*(D58*C45-E58*D45-F58*E45-G58*(F45*D58+G45)-H58*H45*D58-I58*I45*D58-J58*J45*D58)+IF($B$49&gt;0,$B$50*O58/($B$49*N58),0)*(D58*C46-E58*D46-F58*E46-G58*(F46*D58+G46)-H58*H46*D58-I58*I46*D58-J58*J46*D58)-$B$50*O58-L58*$B$47-M58*$B$48</f>
        <v/>
      </c>
      <c r="Q58" s="24">
        <f>P58-P$53</f>
        <v/>
      </c>
    </row>
    <row r="59">
      <c r="A59" t="inlineStr">
        <is>
          <t>Coût produit et droits</t>
        </is>
      </c>
      <c r="B59" t="inlineStr">
        <is>
          <t>+20 %</t>
        </is>
      </c>
      <c r="C59" t="n">
        <v>1</v>
      </c>
      <c r="D59" t="n">
        <v>1</v>
      </c>
      <c r="E59" s="9" t="n">
        <v>1.2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s="24">
        <f>B43*C59*(D59*C43-E59*D43-F59*E43-G59*(F43*D59+G43)-H59*H43*D59-I59*I43*D59-J59*J43*D59)+(B44+B45*(1-K59))*C59*(D59*C44-E59*D44-F59*E44-G59*(F44*D59+G44)-H59*H44*D59-I59*I44*D59-J59*J44*D59)+B45*C59*K59*(D59*C45-E59*D45-F59*E45-G59*(F45*D59+G45)-H59*H45*D59-I59*I45*D59-J59*J45*D59)+IF($B$49&gt;0,$B$50*O59/($B$49*N59),0)*(D59*C46-E59*D46-F59*E46-G59*(F46*D59+G46)-H59*H46*D59-I59*I46*D59-J59*J46*D59)-$B$50*O59-L59*$B$47-M59*$B$48</f>
        <v/>
      </c>
      <c r="Q59" s="24">
        <f>P59-P$53</f>
        <v/>
      </c>
    </row>
    <row r="60">
      <c r="A60" t="inlineStr">
        <is>
          <t>Livraison et emballage</t>
        </is>
      </c>
      <c r="B60" t="inlineStr">
        <is>
          <t>−20 %</t>
        </is>
      </c>
      <c r="C60" t="n">
        <v>1</v>
      </c>
      <c r="D60" t="n">
        <v>1</v>
      </c>
      <c r="E60" t="n">
        <v>1</v>
      </c>
      <c r="F60" s="9" t="n">
        <v>0.8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s="24">
        <f>B43*C60*(D60*C43-E60*D43-F60*E43-G60*(F43*D60+G43)-H60*H43*D60-I60*I43*D60-J60*J43*D60)+(B44+B45*(1-K60))*C60*(D60*C44-E60*D44-F60*E44-G60*(F44*D60+G44)-H60*H44*D60-I60*I44*D60-J60*J44*D60)+B45*C60*K60*(D60*C45-E60*D45-F60*E45-G60*(F45*D60+G45)-H60*H45*D60-I60*I45*D60-J60*J45*D60)+IF($B$49&gt;0,$B$50*O60/($B$49*N60),0)*(D60*C46-E60*D46-F60*E46-G60*(F46*D60+G46)-H60*H46*D60-I60*I46*D60-J60*J46*D60)-$B$50*O60-L60*$B$47-M60*$B$48</f>
        <v/>
      </c>
      <c r="Q60" s="24">
        <f>P60-P$53</f>
        <v/>
      </c>
    </row>
    <row r="61">
      <c r="A61" t="inlineStr">
        <is>
          <t>Livraison et emballage</t>
        </is>
      </c>
      <c r="B61" t="inlineStr">
        <is>
          <t>+20 %</t>
        </is>
      </c>
      <c r="C61" t="n">
        <v>1</v>
      </c>
      <c r="D61" t="n">
        <v>1</v>
      </c>
      <c r="E61" t="n">
        <v>1</v>
      </c>
      <c r="F61" s="9" t="n">
        <v>1.2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s="24">
        <f>B43*C61*(D61*C43-E61*D43-F61*E43-G61*(F43*D61+G43)-H61*H43*D61-I61*I43*D61-J61*J43*D61)+(B44+B45*(1-K61))*C61*(D61*C44-E61*D44-F61*E44-G61*(F44*D61+G44)-H61*H44*D61-I61*I44*D61-J61*J44*D61)+B45*C61*K61*(D61*C45-E61*D45-F61*E45-G61*(F45*D61+G45)-H61*H45*D61-I61*I45*D61-J61*J45*D61)+IF($B$49&gt;0,$B$50*O61/($B$49*N61),0)*(D61*C46-E61*D46-F61*E46-G61*(F46*D61+G46)-H61*H46*D61-I61*I46*D61-J61*J46*D61)-$B$50*O61-L61*$B$47-M61*$B$48</f>
        <v/>
      </c>
      <c r="Q61" s="24">
        <f>P61-P$53</f>
        <v/>
      </c>
    </row>
    <row r="62">
      <c r="A62" t="inlineStr">
        <is>
          <t>Frais de paiement</t>
        </is>
      </c>
      <c r="B62" t="inlineStr">
        <is>
          <t>−20 %</t>
        </is>
      </c>
      <c r="C62" t="n">
        <v>1</v>
      </c>
      <c r="D62" t="n">
        <v>1</v>
      </c>
      <c r="E62" t="n">
        <v>1</v>
      </c>
      <c r="F62" t="n">
        <v>1</v>
      </c>
      <c r="G62" s="9" t="n">
        <v>0.8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s="24">
        <f>B43*C62*(D62*C43-E62*D43-F62*E43-G62*(F43*D62+G43)-H62*H43*D62-I62*I43*D62-J62*J43*D62)+(B44+B45*(1-K62))*C62*(D62*C44-E62*D44-F62*E44-G62*(F44*D62+G44)-H62*H44*D62-I62*I44*D62-J62*J44*D62)+B45*C62*K62*(D62*C45-E62*D45-F62*E45-G62*(F45*D62+G45)-H62*H45*D62-I62*I45*D62-J62*J45*D62)+IF($B$49&gt;0,$B$50*O62/($B$49*N62),0)*(D62*C46-E62*D46-F62*E46-G62*(F46*D62+G46)-H62*H46*D62-I62*I46*D62-J62*J46*D62)-$B$50*O62-L62*$B$47-M62*$B$48</f>
        <v/>
      </c>
      <c r="Q62" s="24">
        <f>P62-P$53</f>
        <v/>
      </c>
    </row>
    <row r="63">
      <c r="A63" t="inlineStr">
        <is>
          <t>Frais de paiement</t>
        </is>
      </c>
      <c r="B63" t="inlineStr">
        <is>
          <t>+20 %</t>
        </is>
      </c>
      <c r="C63" t="n">
        <v>1</v>
      </c>
      <c r="D63" t="n">
        <v>1</v>
      </c>
      <c r="E63" t="n">
        <v>1</v>
      </c>
      <c r="F63" t="n">
        <v>1</v>
      </c>
      <c r="G63" s="9" t="n">
        <v>1.2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s="24">
        <f>B43*C63*(D63*C43-E63*D43-F63*E43-G63*(F43*D63+G43)-H63*H43*D63-I63*I43*D63-J63*J43*D63)+(B44+B45*(1-K63))*C63*(D63*C44-E63*D44-F63*E44-G63*(F44*D63+G44)-H63*H44*D63-I63*I44*D63-J63*J44*D63)+B45*C63*K63*(D63*C45-E63*D45-F63*E45-G63*(F45*D63+G45)-H63*H45*D63-I63*I45*D63-J63*J45*D63)+IF($B$49&gt;0,$B$50*O63/($B$49*N63),0)*(D63*C46-E63*D46-F63*E46-G63*(F46*D63+G46)-H63*H46*D63-I63*I46*D63-J63*J46*D63)-$B$50*O63-L63*$B$47-M63*$B$48</f>
        <v/>
      </c>
      <c r="Q63" s="24">
        <f>P63-P$53</f>
        <v/>
      </c>
    </row>
    <row r="64">
      <c r="A64" t="inlineStr">
        <is>
          <t>Commission TikTok Shop</t>
        </is>
      </c>
      <c r="B64" t="inlineStr">
        <is>
          <t>−20 %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s="9" t="n">
        <v>0.8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s="24">
        <f>B43*C64*(D64*C43-E64*D43-F64*E43-G64*(F43*D64+G43)-H64*H43*D64-I64*I43*D64-J64*J43*D64)+(B44+B45*(1-K64))*C64*(D64*C44-E64*D44-F64*E44-G64*(F44*D64+G44)-H64*H44*D64-I64*I44*D64-J64*J44*D64)+B45*C64*K64*(D64*C45-E64*D45-F64*E45-G64*(F45*D64+G45)-H64*H45*D64-I64*I45*D64-J64*J45*D64)+IF($B$49&gt;0,$B$50*O64/($B$49*N64),0)*(D64*C46-E64*D46-F64*E46-G64*(F46*D64+G46)-H64*H46*D64-I64*I46*D64-J64*J46*D64)-$B$50*O64-L64*$B$47-M64*$B$48</f>
        <v/>
      </c>
      <c r="Q64" s="24">
        <f>P64-P$53</f>
        <v/>
      </c>
    </row>
    <row r="65">
      <c r="A65" t="inlineStr">
        <is>
          <t>Commission TikTok Shop</t>
        </is>
      </c>
      <c r="B65" t="inlineStr">
        <is>
          <t>+20 %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s="9" t="n">
        <v>1.2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s="24">
        <f>B43*C65*(D65*C43-E65*D43-F65*E43-G65*(F43*D65+G43)-H65*H43*D65-I65*I43*D65-J65*J43*D65)+(B44+B45*(1-K65))*C65*(D65*C44-E65*D44-F65*E44-G65*(F44*D65+G44)-H65*H44*D65-I65*I44*D65-J65*J44*D65)+B45*C65*K65*(D65*C45-E65*D45-F65*E45-G65*(F45*D65+G45)-H65*H45*D65-I65*I45*D65-J65*J45*D65)+IF($B$49&gt;0,$B$50*O65/($B$49*N65),0)*(D65*C46-E65*D46-F65*E46-G65*(F46*D65+G46)-H65*H46*D65-I65*I46*D65-J65*J46*D65)-$B$50*O65-L65*$B$47-M65*$B$48</f>
        <v/>
      </c>
      <c r="Q65" s="24">
        <f>P65-P$53</f>
        <v/>
      </c>
    </row>
    <row r="66">
      <c r="A66" t="inlineStr">
        <is>
          <t>Commission des créateurs</t>
        </is>
      </c>
      <c r="B66" t="inlineStr">
        <is>
          <t>−20 %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s="9" t="n">
        <v>0.8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s="24">
        <f>B43*C66*(D66*C43-E66*D43-F66*E43-G66*(F43*D66+G43)-H66*H43*D66-I66*I43*D66-J66*J43*D66)+(B44+B45*(1-K66))*C66*(D66*C44-E66*D44-F66*E44-G66*(F44*D66+G44)-H66*H44*D66-I66*I44*D66-J66*J44*D66)+B45*C66*K66*(D66*C45-E66*D45-F66*E45-G66*(F45*D66+G45)-H66*H45*D66-I66*I45*D66-J66*J45*D66)+IF($B$49&gt;0,$B$50*O66/($B$49*N66),0)*(D66*C46-E66*D46-F66*E46-G66*(F46*D66+G46)-H66*H46*D66-I66*I46*D66-J66*J46*D66)-$B$50*O66-L66*$B$47-M66*$B$48</f>
        <v/>
      </c>
      <c r="Q66" s="24">
        <f>P66-P$53</f>
        <v/>
      </c>
    </row>
    <row r="67">
      <c r="A67" t="inlineStr">
        <is>
          <t>Commission des créateurs</t>
        </is>
      </c>
      <c r="B67" t="inlineStr">
        <is>
          <t>+20 %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s="9" t="n">
        <v>1.2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s="24">
        <f>B43*C67*(D67*C43-E67*D43-F67*E43-G67*(F43*D67+G43)-H67*H43*D67-I67*I43*D67-J67*J43*D67)+(B44+B45*(1-K67))*C67*(D67*C44-E67*D44-F67*E44-G67*(F44*D67+G44)-H67*H44*D67-I67*I44*D67-J67*J44*D67)+B45*C67*K67*(D67*C45-E67*D45-F67*E45-G67*(F45*D67+G45)-H67*H45*D67-I67*I45*D67-J67*J45*D67)+IF($B$49&gt;0,$B$50*O67/($B$49*N67),0)*(D67*C46-E67*D46-F67*E46-G67*(F46*D67+G46)-H67*H46*D67-I67*I46*D67-J67*J46*D67)-$B$50*O67-L67*$B$47-M67*$B$48</f>
        <v/>
      </c>
      <c r="Q67" s="24">
        <f>P67-P$53</f>
        <v/>
      </c>
    </row>
    <row r="68">
      <c r="A68" t="inlineStr">
        <is>
          <t>Retours, SAV et litiges</t>
        </is>
      </c>
      <c r="B68" t="inlineStr">
        <is>
          <t>−20 %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s="9" t="n">
        <v>0.8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s="24">
        <f>B43*C68*(D68*C43-E68*D43-F68*E43-G68*(F43*D68+G43)-H68*H43*D68-I68*I43*D68-J68*J43*D68)+(B44+B45*(1-K68))*C68*(D68*C44-E68*D44-F68*E44-G68*(F44*D68+G44)-H68*H44*D68-I68*I44*D68-J68*J44*D68)+B45*C68*K68*(D68*C45-E68*D45-F68*E45-G68*(F45*D68+G45)-H68*H45*D68-I68*I45*D68-J68*J45*D68)+IF($B$49&gt;0,$B$50*O68/($B$49*N68),0)*(D68*C46-E68*D46-F68*E46-G68*(F46*D68+G46)-H68*H46*D68-I68*I46*D68-J68*J46*D68)-$B$50*O68-L68*$B$47-M68*$B$48</f>
        <v/>
      </c>
      <c r="Q68" s="24">
        <f>P68-P$53</f>
        <v/>
      </c>
    </row>
    <row r="69">
      <c r="A69" t="inlineStr">
        <is>
          <t>Retours, SAV et litiges</t>
        </is>
      </c>
      <c r="B69" t="inlineStr">
        <is>
          <t>+20 %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s="9" t="n">
        <v>1.2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s="24">
        <f>B43*C69*(D69*C43-E69*D43-F69*E43-G69*(F43*D69+G43)-H69*H43*D69-I69*I43*D69-J69*J43*D69)+(B44+B45*(1-K69))*C69*(D69*C44-E69*D44-F69*E44-G69*(F44*D69+G44)-H69*H44*D69-I69*I44*D69-J69*J44*D69)+B45*C69*K69*(D69*C45-E69*D45-F69*E45-G69*(F45*D69+G45)-H69*H45*D69-I69*I45*D69-J69*J45*D69)+IF($B$49&gt;0,$B$50*O69/($B$49*N69),0)*(D69*C46-E69*D46-F69*E46-G69*(F46*D69+G46)-H69*H46*D69-I69*I46*D69-J69*J46*D69)-$B$50*O69-L69*$B$47-M69*$B$48</f>
        <v/>
      </c>
      <c r="Q69" s="24">
        <f>P69-P$53</f>
        <v/>
      </c>
    </row>
    <row r="70">
      <c r="A70" t="inlineStr">
        <is>
          <t>Part des ventes par affiliés</t>
        </is>
      </c>
      <c r="B70" t="inlineStr">
        <is>
          <t>−20 %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s="9" t="n">
        <v>0.8</v>
      </c>
      <c r="L70" t="n">
        <v>1</v>
      </c>
      <c r="M70" t="n">
        <v>1</v>
      </c>
      <c r="N70" t="n">
        <v>1</v>
      </c>
      <c r="O70" t="n">
        <v>1</v>
      </c>
      <c r="P70" s="24">
        <f>B43*C70*(D70*C43-E70*D43-F70*E43-G70*(F43*D70+G43)-H70*H43*D70-I70*I43*D70-J70*J43*D70)+(B44+B45*(1-K70))*C70*(D70*C44-E70*D44-F70*E44-G70*(F44*D70+G44)-H70*H44*D70-I70*I44*D70-J70*J44*D70)+B45*C70*K70*(D70*C45-E70*D45-F70*E45-G70*(F45*D70+G45)-H70*H45*D70-I70*I45*D70-J70*J45*D70)+IF($B$49&gt;0,$B$50*O70/($B$49*N70),0)*(D70*C46-E70*D46-F70*E46-G70*(F46*D70+G46)-H70*H46*D70-I70*I46*D70-J70*J46*D70)-$B$50*O70-L70*$B$47-M70*$B$48</f>
        <v/>
      </c>
      <c r="Q70" s="24">
        <f>P70-P$53</f>
        <v/>
      </c>
    </row>
    <row r="71">
      <c r="A71" t="inlineStr">
        <is>
          <t>Part des ventes par affiliés</t>
        </is>
      </c>
      <c r="B71" t="inlineStr">
        <is>
          <t>+20 %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s="9" t="n">
        <v>1.2</v>
      </c>
      <c r="L71" t="n">
        <v>1</v>
      </c>
      <c r="M71" t="n">
        <v>1</v>
      </c>
      <c r="N71" t="n">
        <v>1</v>
      </c>
      <c r="O71" t="n">
        <v>1</v>
      </c>
      <c r="P71" s="24">
        <f>B43*C71*(D71*C43-E71*D43-F71*E43-G71*(F43*D71+G43)-H71*H43*D71-I71*I43*D71-J71*J43*D71)+(B44+B45*(1-K71))*C71*(D71*C44-E71*D44-F71*E44-G71*(F44*D71+G44)-H71*H44*D71-I71*I44*D71-J71*J44*D71)+B45*C71*K71*(D71*C45-E71*D45-F71*E45-G71*(F45*D71+G45)-H71*H45*D71-I71*I45*D71-J71*J45*D71)+IF($B$49&gt;0,$B$50*O71/($B$49*N71),0)*(D71*C46-E71*D46-F71*E46-G71*(F46*D71+G46)-H71*H46*D71-I71*I46*D71-J71*J46*D71)-$B$50*O71-L71*$B$47-M71*$B$48</f>
        <v/>
      </c>
      <c r="Q71" s="24">
        <f>P71-P$53</f>
        <v/>
      </c>
    </row>
    <row r="72">
      <c r="A72" t="inlineStr">
        <is>
          <t>Frais fixes</t>
        </is>
      </c>
      <c r="B72" t="inlineStr">
        <is>
          <t>−20 %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s="9" t="n">
        <v>0.8</v>
      </c>
      <c r="M72" t="n">
        <v>1</v>
      </c>
      <c r="N72" t="n">
        <v>1</v>
      </c>
      <c r="O72" t="n">
        <v>1</v>
      </c>
      <c r="P72" s="24">
        <f>B43*C72*(D72*C43-E72*D43-F72*E43-G72*(F43*D72+G43)-H72*H43*D72-I72*I43*D72-J72*J43*D72)+(B44+B45*(1-K72))*C72*(D72*C44-E72*D44-F72*E44-G72*(F44*D72+G44)-H72*H44*D72-I72*I44*D72-J72*J44*D72)+B45*C72*K72*(D72*C45-E72*D45-F72*E45-G72*(F45*D72+G45)-H72*H45*D72-I72*I45*D72-J72*J45*D72)+IF($B$49&gt;0,$B$50*O72/($B$49*N72),0)*(D72*C46-E72*D46-F72*E46-G72*(F46*D72+G46)-H72*H46*D72-I72*I46*D72-J72*J46*D72)-$B$50*O72-L72*$B$47-M72*$B$48</f>
        <v/>
      </c>
      <c r="Q72" s="24">
        <f>P72-P$53</f>
        <v/>
      </c>
    </row>
    <row r="73">
      <c r="A73" t="inlineStr">
        <is>
          <t>Frais fixes</t>
        </is>
      </c>
      <c r="B73" t="inlineStr">
        <is>
          <t>+20 %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s="9" t="n">
        <v>1.2</v>
      </c>
      <c r="M73" t="n">
        <v>1</v>
      </c>
      <c r="N73" t="n">
        <v>1</v>
      </c>
      <c r="O73" t="n">
        <v>1</v>
      </c>
      <c r="P73" s="24">
        <f>B43*C73*(D73*C43-E73*D43-F73*E43-G73*(F43*D73+G43)-H73*H43*D73-I73*I43*D73-J73*J43*D73)+(B44+B45*(1-K73))*C73*(D73*C44-E73*D44-F73*E44-G73*(F44*D73+G44)-H73*H44*D73-I73*I44*D73-J73*J44*D73)+B45*C73*K73*(D73*C45-E73*D45-F73*E45-G73*(F45*D73+G45)-H73*H45*D73-I73*I45*D73-J73*J45*D73)+IF($B$49&gt;0,$B$50*O73/($B$49*N73),0)*(D73*C46-E73*D46-F73*E46-G73*(F46*D73+G46)-H73*H46*D73-I73*I46*D73-J73*J46*D73)-$B$50*O73-L73*$B$47-M73*$B$48</f>
        <v/>
      </c>
      <c r="Q73" s="24">
        <f>P73-P$53</f>
        <v/>
      </c>
    </row>
    <row r="74">
      <c r="A74" t="inlineStr">
        <is>
          <t>Échantillons créateurs</t>
        </is>
      </c>
      <c r="B74" t="inlineStr">
        <is>
          <t>−20 %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s="9" t="n">
        <v>0.8</v>
      </c>
      <c r="N74" t="n">
        <v>1</v>
      </c>
      <c r="O74" t="n">
        <v>1</v>
      </c>
      <c r="P74" s="24">
        <f>B43*C74*(D74*C43-E74*D43-F74*E43-G74*(F43*D74+G43)-H74*H43*D74-I74*I43*D74-J74*J43*D74)+(B44+B45*(1-K74))*C74*(D74*C44-E74*D44-F74*E44-G74*(F44*D74+G44)-H74*H44*D74-I74*I44*D74-J74*J44*D74)+B45*C74*K74*(D74*C45-E74*D45-F74*E45-G74*(F45*D74+G45)-H74*H45*D74-I74*I45*D74-J74*J45*D74)+IF($B$49&gt;0,$B$50*O74/($B$49*N74),0)*(D74*C46-E74*D46-F74*E46-G74*(F46*D74+G46)-H74*H46*D74-I74*I46*D74-J74*J46*D74)-$B$50*O74-L74*$B$47-M74*$B$48</f>
        <v/>
      </c>
      <c r="Q74" s="24">
        <f>P74-P$53</f>
        <v/>
      </c>
    </row>
    <row r="75">
      <c r="A75" t="inlineStr">
        <is>
          <t>Échantillons créateurs</t>
        </is>
      </c>
      <c r="B75" t="inlineStr">
        <is>
          <t>+20 %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s="9" t="n">
        <v>1.2</v>
      </c>
      <c r="N75" t="n">
        <v>1</v>
      </c>
      <c r="O75" t="n">
        <v>1</v>
      </c>
      <c r="P75" s="24">
        <f>B43*C75*(D75*C43-E75*D43-F75*E43-G75*(F43*D75+G43)-H75*H43*D75-I75*I43*D75-J75*J43*D75)+(B44+B45*(1-K75))*C75*(D75*C44-E75*D44-F75*E44-G75*(F44*D75+G44)-H75*H44*D75-I75*I44*D75-J75*J44*D75)+B45*C75*K75*(D75*C45-E75*D45-F75*E45-G75*(F45*D75+G45)-H75*H45*D75-I75*I45*D75-J75*J45*D75)+IF($B$49&gt;0,$B$50*O75/($B$49*N75),0)*(D75*C46-E75*D46-F75*E46-G75*(F46*D75+G46)-H75*H46*D75-I75*I46*D75-J75*J46*D75)-$B$50*O75-L75*$B$47-M75*$B$48</f>
        <v/>
      </c>
      <c r="Q75" s="24">
        <f>P75-P$53</f>
        <v/>
      </c>
    </row>
    <row r="76">
      <c r="A76" t="inlineStr">
        <is>
          <t>CPA publicitaire</t>
        </is>
      </c>
      <c r="B76" t="inlineStr">
        <is>
          <t>−20 %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s="9" t="n">
        <v>0.8</v>
      </c>
      <c r="O76" t="n">
        <v>1</v>
      </c>
      <c r="P76" s="24">
        <f>B43*C76*(D76*C43-E76*D43-F76*E43-G76*(F43*D76+G43)-H76*H43*D76-I76*I43*D76-J76*J43*D76)+(B44+B45*(1-K76))*C76*(D76*C44-E76*D44-F76*E44-G76*(F44*D76+G44)-H76*H44*D76-I76*I44*D76-J76*J44*D76)+B45*C76*K76*(D76*C45-E76*D45-F76*E45-G76*(F45*D76+G45)-H76*H45*D76-I76*I45*D76-J76*J45*D76)+IF($B$49&gt;0,$B$50*O76/($B$49*N76),0)*(D76*C46-E76*D46-F76*E46-G76*(F46*D76+G46)-H76*H46*D76-I76*I46*D76-J76*J46*D76)-$B$50*O76-L76*$B$47-M76*$B$48</f>
        <v/>
      </c>
      <c r="Q76" s="24">
        <f>P76-P$53</f>
        <v/>
      </c>
    </row>
    <row r="77">
      <c r="A77" t="inlineStr">
        <is>
          <t>CPA publicitaire</t>
        </is>
      </c>
      <c r="B77" t="inlineStr">
        <is>
          <t>+20 %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s="9" t="n">
        <v>1.2</v>
      </c>
      <c r="O77" t="n">
        <v>1</v>
      </c>
      <c r="P77" s="24">
        <f>B43*C77*(D77*C43-E77*D43-F77*E43-G77*(F43*D77+G43)-H77*H43*D77-I77*I43*D77-J77*J43*D77)+(B44+B45*(1-K77))*C77*(D77*C44-E77*D44-F77*E44-G77*(F44*D77+G44)-H77*H44*D77-I77*I44*D77-J77*J44*D77)+B45*C77*K77*(D77*C45-E77*D45-F77*E45-G77*(F45*D77+G45)-H77*H45*D77-I77*I45*D77-J77*J45*D77)+IF($B$49&gt;0,$B$50*O77/($B$49*N77),0)*(D77*C46-E77*D46-F77*E46-G77*(F46*D77+G46)-H77*H46*D77-I77*I46*D77-J77*J46*D77)-$B$50*O77-L77*$B$47-M77*$B$48</f>
        <v/>
      </c>
      <c r="Q77" s="24">
        <f>P77-P$53</f>
        <v/>
      </c>
    </row>
    <row r="78">
      <c r="A78" t="inlineStr">
        <is>
          <t>Budget publicitaire</t>
        </is>
      </c>
      <c r="B78" t="inlineStr">
        <is>
          <t>−20 %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s="9" t="n">
        <v>0.8</v>
      </c>
      <c r="P78" s="24">
        <f>B43*C78*(D78*C43-E78*D43-F78*E43-G78*(F43*D78+G43)-H78*H43*D78-I78*I43*D78-J78*J43*D78)+(B44+B45*(1-K78))*C78*(D78*C44-E78*D44-F78*E44-G78*(F44*D78+G44)-H78*H44*D78-I78*I44*D78-J78*J44*D78)+B45*C78*K78*(D78*C45-E78*D45-F78*E45-G78*(F45*D78+G45)-H78*H45*D78-I78*I45*D78-J78*J45*D78)+IF($B$49&gt;0,$B$50*O78/($B$49*N78),0)*(D78*C46-E78*D46-F78*E46-G78*(F46*D78+G46)-H78*H46*D78-I78*I46*D78-J78*J46*D78)-$B$50*O78-L78*$B$47-M78*$B$48</f>
        <v/>
      </c>
      <c r="Q78" s="24">
        <f>P78-P$53</f>
        <v/>
      </c>
    </row>
    <row r="79">
      <c r="A79" t="inlineStr">
        <is>
          <t>Budget publicitaire</t>
        </is>
      </c>
      <c r="B79" t="inlineStr">
        <is>
          <t>+20 %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s="9" t="n">
        <v>1.2</v>
      </c>
      <c r="P79" s="24">
        <f>B43*C79*(D79*C43-E79*D43-F79*E43-G79*(F43*D79+G43)-H79*H43*D79-I79*I43*D79-J79*J43*D79)+(B44+B45*(1-K79))*C79*(D79*C44-E79*D44-F79*E44-G79*(F44*D79+G44)-H79*H44*D79-I79*I44*D79-J79*J44*D79)+B45*C79*K79*(D79*C45-E79*D45-F79*E45-G79*(F45*D79+G45)-H79*H45*D79-I79*I45*D79-J79*J45*D79)+IF($B$49&gt;0,$B$50*O79/($B$49*N79),0)*(D79*C46-E79*D46-F79*E46-G79*(F46*D79+G46)-H79*H46*D79-I79*I46*D79-J79*J46*D79)-$B$50*O79-L79*$B$47-M79*$B$48</f>
        <v/>
      </c>
      <c r="Q79" s="24">
        <f>P79-P$53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2026-10-12T08:18:05Z</dcterms:created>
  <dcterms:modified xmlns:dcterms="http://purl.org/dc/terms/" xmlns:xsi="http://www.w3.org/2001/XMLSchema-instance" xsi:type="dcterms:W3CDTF">2026-10-12T08:18:06Z</dcterms:modified>
</cp:coreProperties>
</file>